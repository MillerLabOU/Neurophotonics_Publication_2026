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dmiller_ou_edu/Documents/Desktop/RESEARCH/Clinical_LSCI/Case_Reviews/OU4/9.4.2025 Biostatistician raw values Miller Lab/2b Single merged graph Without spikes Values in Excel sheet - Ebby validated/"/>
    </mc:Choice>
  </mc:AlternateContent>
  <xr:revisionPtr revIDLastSave="114" documentId="11_514D331F4914A39EA14C3BC5E6012D16118B1B48" xr6:coauthVersionLast="47" xr6:coauthVersionMax="47" xr10:uidLastSave="{16D865C8-5007-B845-B253-1C6DFAB34D55}"/>
  <bookViews>
    <workbookView xWindow="30640" yWindow="680" windowWidth="27360" windowHeight="18520" xr2:uid="{00000000-000D-0000-FFFF-FFFF00000000}"/>
  </bookViews>
  <sheets>
    <sheet name="Data_Matrix" sheetId="3" r:id="rId1"/>
    <sheet name="Data_Long_Form" sheetId="1" r:id="rId2"/>
    <sheet name="Data_Pivot_Table" sheetId="2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2" l="1"/>
  <c r="Y5" i="2"/>
  <c r="Z5" i="2"/>
  <c r="AA5" i="2"/>
  <c r="AB5" i="2"/>
  <c r="AC5" i="2"/>
  <c r="X6" i="2"/>
  <c r="Y6" i="2"/>
  <c r="Z6" i="2"/>
  <c r="AA6" i="2"/>
  <c r="AB6" i="2"/>
  <c r="AC6" i="2"/>
  <c r="X7" i="2"/>
  <c r="Y7" i="2"/>
  <c r="Z7" i="2"/>
  <c r="AA7" i="2"/>
  <c r="AB7" i="2"/>
  <c r="AC7" i="2"/>
  <c r="X8" i="2"/>
  <c r="Y8" i="2"/>
  <c r="Z8" i="2"/>
  <c r="AA8" i="2"/>
  <c r="AB8" i="2"/>
  <c r="AC8" i="2"/>
  <c r="X9" i="2"/>
  <c r="Y9" i="2"/>
  <c r="Z9" i="2"/>
  <c r="AA9" i="2"/>
  <c r="AB9" i="2"/>
  <c r="AC9" i="2"/>
  <c r="X10" i="2"/>
  <c r="Y10" i="2"/>
  <c r="Z10" i="2"/>
  <c r="AA10" i="2"/>
  <c r="AB10" i="2"/>
  <c r="AC10" i="2"/>
  <c r="X11" i="2"/>
  <c r="Y11" i="2"/>
  <c r="Z11" i="2"/>
  <c r="AA11" i="2"/>
  <c r="AB11" i="2"/>
  <c r="AC11" i="2"/>
  <c r="X12" i="2"/>
  <c r="Y12" i="2"/>
  <c r="Z12" i="2"/>
  <c r="AA12" i="2"/>
  <c r="AB12" i="2"/>
  <c r="AC12" i="2"/>
  <c r="X13" i="2"/>
  <c r="Y13" i="2"/>
  <c r="Z13" i="2"/>
  <c r="AA13" i="2"/>
  <c r="AB13" i="2"/>
  <c r="AC13" i="2"/>
  <c r="X14" i="2"/>
  <c r="Y14" i="2"/>
  <c r="Z14" i="2"/>
  <c r="AA14" i="2"/>
  <c r="AB14" i="2"/>
  <c r="AC14" i="2"/>
  <c r="X15" i="2"/>
  <c r="Y15" i="2"/>
  <c r="Z15" i="2"/>
  <c r="AA15" i="2"/>
  <c r="AB15" i="2"/>
  <c r="AC15" i="2"/>
  <c r="X16" i="2"/>
  <c r="Y16" i="2"/>
  <c r="Z16" i="2"/>
  <c r="AA16" i="2"/>
  <c r="AB16" i="2"/>
  <c r="AC16" i="2"/>
  <c r="X17" i="2"/>
  <c r="Y17" i="2"/>
  <c r="Z17" i="2"/>
  <c r="AA17" i="2"/>
  <c r="AB17" i="2"/>
  <c r="AC17" i="2"/>
  <c r="X18" i="2"/>
  <c r="Y18" i="2"/>
  <c r="Z18" i="2"/>
  <c r="AA18" i="2"/>
  <c r="AB18" i="2"/>
  <c r="AC18" i="2"/>
  <c r="X19" i="2"/>
  <c r="Y19" i="2"/>
  <c r="Z19" i="2"/>
  <c r="AA19" i="2"/>
  <c r="AB19" i="2"/>
  <c r="AC19" i="2"/>
  <c r="X20" i="2"/>
  <c r="Y20" i="2"/>
  <c r="Z20" i="2"/>
  <c r="AA20" i="2"/>
  <c r="AB20" i="2"/>
  <c r="AC20" i="2"/>
  <c r="X21" i="2"/>
  <c r="Y21" i="2"/>
  <c r="Z21" i="2"/>
  <c r="AA21" i="2"/>
  <c r="AB21" i="2"/>
  <c r="AC21" i="2"/>
  <c r="X22" i="2"/>
  <c r="Y22" i="2"/>
  <c r="Z22" i="2"/>
  <c r="AA22" i="2"/>
  <c r="AB22" i="2"/>
  <c r="AC22" i="2"/>
  <c r="X23" i="2"/>
  <c r="Y23" i="2"/>
  <c r="Z23" i="2"/>
  <c r="AA23" i="2"/>
  <c r="AB23" i="2"/>
  <c r="AC23" i="2"/>
  <c r="X24" i="2"/>
  <c r="Y24" i="2"/>
  <c r="Z24" i="2"/>
  <c r="AA24" i="2"/>
  <c r="AB24" i="2"/>
  <c r="AC24" i="2"/>
  <c r="X25" i="2"/>
  <c r="Y25" i="2"/>
  <c r="Z25" i="2"/>
  <c r="AA25" i="2"/>
  <c r="AB25" i="2"/>
  <c r="AC25" i="2"/>
  <c r="X26" i="2"/>
  <c r="Y26" i="2"/>
  <c r="Z26" i="2"/>
  <c r="AA26" i="2"/>
  <c r="AB26" i="2"/>
  <c r="AC26" i="2"/>
  <c r="X27" i="2"/>
  <c r="Y27" i="2"/>
  <c r="Z27" i="2"/>
  <c r="AA27" i="2"/>
  <c r="AB27" i="2"/>
  <c r="AC27" i="2"/>
  <c r="X28" i="2"/>
  <c r="Y28" i="2"/>
  <c r="Z28" i="2"/>
  <c r="AA28" i="2"/>
  <c r="AB28" i="2"/>
  <c r="AC28" i="2"/>
  <c r="X29" i="2"/>
  <c r="Y29" i="2"/>
  <c r="Z29" i="2"/>
  <c r="AA29" i="2"/>
  <c r="AB29" i="2"/>
  <c r="AC29" i="2"/>
  <c r="X30" i="2"/>
  <c r="Y30" i="2"/>
  <c r="Z30" i="2"/>
  <c r="AA30" i="2"/>
  <c r="AB30" i="2"/>
  <c r="AC30" i="2"/>
  <c r="X31" i="2"/>
  <c r="Y31" i="2"/>
  <c r="Z31" i="2"/>
  <c r="AA31" i="2"/>
  <c r="AB31" i="2"/>
  <c r="AC31" i="2"/>
  <c r="X32" i="2"/>
  <c r="Y32" i="2"/>
  <c r="Z32" i="2"/>
  <c r="AA32" i="2"/>
  <c r="AB32" i="2"/>
  <c r="AC32" i="2"/>
  <c r="X33" i="2"/>
  <c r="Y33" i="2"/>
  <c r="Z33" i="2"/>
  <c r="AA33" i="2"/>
  <c r="AB33" i="2"/>
  <c r="AC33" i="2"/>
  <c r="X34" i="2"/>
  <c r="Y34" i="2"/>
  <c r="Z34" i="2"/>
  <c r="AA34" i="2"/>
  <c r="AB34" i="2"/>
  <c r="AC34" i="2"/>
  <c r="X35" i="2"/>
  <c r="Y35" i="2"/>
  <c r="Z35" i="2"/>
  <c r="AA35" i="2"/>
  <c r="AB35" i="2"/>
  <c r="AC35" i="2"/>
  <c r="X36" i="2"/>
  <c r="Y36" i="2"/>
  <c r="Z36" i="2"/>
  <c r="AA36" i="2"/>
  <c r="AB36" i="2"/>
  <c r="AC36" i="2"/>
  <c r="X37" i="2"/>
  <c r="Y37" i="2"/>
  <c r="Z37" i="2"/>
  <c r="AA37" i="2"/>
  <c r="AB37" i="2"/>
  <c r="AC37" i="2"/>
  <c r="X38" i="2"/>
  <c r="Y38" i="2"/>
  <c r="Z38" i="2"/>
  <c r="AA38" i="2"/>
  <c r="AB38" i="2"/>
  <c r="AC38" i="2"/>
  <c r="X39" i="2"/>
  <c r="Y39" i="2"/>
  <c r="Z39" i="2"/>
  <c r="AA39" i="2"/>
  <c r="AB39" i="2"/>
  <c r="AC39" i="2"/>
  <c r="X40" i="2"/>
  <c r="Y40" i="2"/>
  <c r="Z40" i="2"/>
  <c r="AA40" i="2"/>
  <c r="AB40" i="2"/>
  <c r="AC40" i="2"/>
  <c r="X41" i="2"/>
  <c r="Y41" i="2"/>
  <c r="Z41" i="2"/>
  <c r="AA41" i="2"/>
  <c r="AB41" i="2"/>
  <c r="AC41" i="2"/>
  <c r="X42" i="2"/>
  <c r="Y42" i="2"/>
  <c r="Z42" i="2"/>
  <c r="AA42" i="2"/>
  <c r="AB42" i="2"/>
  <c r="AC42" i="2"/>
  <c r="X43" i="2"/>
  <c r="Y43" i="2"/>
  <c r="Z43" i="2"/>
  <c r="AA43" i="2"/>
  <c r="AB43" i="2"/>
  <c r="AC43" i="2"/>
  <c r="X44" i="2"/>
  <c r="Y44" i="2"/>
  <c r="Z44" i="2"/>
  <c r="AA44" i="2"/>
  <c r="AB44" i="2"/>
  <c r="AC44" i="2"/>
  <c r="X45" i="2"/>
  <c r="Y45" i="2"/>
  <c r="Z45" i="2"/>
  <c r="AA45" i="2"/>
  <c r="AB45" i="2"/>
  <c r="AC45" i="2"/>
  <c r="X46" i="2"/>
  <c r="Y46" i="2"/>
  <c r="Z46" i="2"/>
  <c r="AA46" i="2"/>
  <c r="AB46" i="2"/>
  <c r="AC46" i="2"/>
  <c r="X47" i="2"/>
  <c r="Y47" i="2"/>
  <c r="Z47" i="2"/>
  <c r="AA47" i="2"/>
  <c r="AB47" i="2"/>
  <c r="AC47" i="2"/>
  <c r="X48" i="2"/>
  <c r="Y48" i="2"/>
  <c r="Z48" i="2"/>
  <c r="AA48" i="2"/>
  <c r="AB48" i="2"/>
  <c r="AC48" i="2"/>
  <c r="X49" i="2"/>
  <c r="Y49" i="2"/>
  <c r="Z49" i="2"/>
  <c r="AA49" i="2"/>
  <c r="AB49" i="2"/>
  <c r="AC49" i="2"/>
  <c r="X50" i="2"/>
  <c r="Y50" i="2"/>
  <c r="Z50" i="2"/>
  <c r="AA50" i="2"/>
  <c r="AB50" i="2"/>
  <c r="AC50" i="2"/>
  <c r="X51" i="2"/>
  <c r="Y51" i="2"/>
  <c r="Z51" i="2"/>
  <c r="AA51" i="2"/>
  <c r="AB51" i="2"/>
  <c r="AC51" i="2"/>
  <c r="X52" i="2"/>
  <c r="Y52" i="2"/>
  <c r="Z52" i="2"/>
  <c r="AA52" i="2"/>
  <c r="AB52" i="2"/>
  <c r="AC52" i="2"/>
  <c r="X53" i="2"/>
  <c r="Y53" i="2"/>
  <c r="Z53" i="2"/>
  <c r="AA53" i="2"/>
  <c r="AB53" i="2"/>
  <c r="AC53" i="2"/>
  <c r="X54" i="2"/>
  <c r="Y54" i="2"/>
  <c r="Z54" i="2"/>
  <c r="AA54" i="2"/>
  <c r="AB54" i="2"/>
  <c r="AC54" i="2"/>
  <c r="X55" i="2"/>
  <c r="Y55" i="2"/>
  <c r="Z55" i="2"/>
  <c r="AA55" i="2"/>
  <c r="AB55" i="2"/>
  <c r="AC55" i="2"/>
  <c r="X56" i="2"/>
  <c r="Y56" i="2"/>
  <c r="Z56" i="2"/>
  <c r="AA56" i="2"/>
  <c r="AB56" i="2"/>
  <c r="AC56" i="2"/>
  <c r="X57" i="2"/>
  <c r="Y57" i="2"/>
  <c r="Z57" i="2"/>
  <c r="AA57" i="2"/>
  <c r="AB57" i="2"/>
  <c r="AC57" i="2"/>
  <c r="X58" i="2"/>
  <c r="Y58" i="2"/>
  <c r="Z58" i="2"/>
  <c r="AA58" i="2"/>
  <c r="AB58" i="2"/>
  <c r="AC58" i="2"/>
  <c r="X59" i="2"/>
  <c r="Y59" i="2"/>
  <c r="Z59" i="2"/>
  <c r="AA59" i="2"/>
  <c r="AB59" i="2"/>
  <c r="AC59" i="2"/>
  <c r="X60" i="2"/>
  <c r="Y60" i="2"/>
  <c r="Z60" i="2"/>
  <c r="AA60" i="2"/>
  <c r="AB60" i="2"/>
  <c r="AC60" i="2"/>
  <c r="X61" i="2"/>
  <c r="Y61" i="2"/>
  <c r="Z61" i="2"/>
  <c r="AA61" i="2"/>
  <c r="AB61" i="2"/>
  <c r="AC61" i="2"/>
  <c r="X62" i="2"/>
  <c r="Y62" i="2"/>
  <c r="Z62" i="2"/>
  <c r="AA62" i="2"/>
  <c r="AB62" i="2"/>
  <c r="AC62" i="2"/>
  <c r="X63" i="2"/>
  <c r="Y63" i="2"/>
  <c r="Z63" i="2"/>
  <c r="AA63" i="2"/>
  <c r="AB63" i="2"/>
  <c r="AC63" i="2"/>
  <c r="X64" i="2"/>
  <c r="Y64" i="2"/>
  <c r="Z64" i="2"/>
  <c r="AA64" i="2"/>
  <c r="AB64" i="2"/>
  <c r="AC64" i="2"/>
  <c r="X65" i="2"/>
  <c r="Y65" i="2"/>
  <c r="Z65" i="2"/>
  <c r="AA65" i="2"/>
  <c r="AB65" i="2"/>
  <c r="AC65" i="2"/>
  <c r="X66" i="2"/>
  <c r="Y66" i="2"/>
  <c r="Z66" i="2"/>
  <c r="AA66" i="2"/>
  <c r="AB66" i="2"/>
  <c r="AC66" i="2"/>
  <c r="X67" i="2"/>
  <c r="Y67" i="2"/>
  <c r="Z67" i="2"/>
  <c r="AA67" i="2"/>
  <c r="AB67" i="2"/>
  <c r="AC67" i="2"/>
  <c r="X68" i="2"/>
  <c r="Y68" i="2"/>
  <c r="Z68" i="2"/>
  <c r="AA68" i="2"/>
  <c r="AB68" i="2"/>
  <c r="AC68" i="2"/>
  <c r="X69" i="2"/>
  <c r="Y69" i="2"/>
  <c r="Z69" i="2"/>
  <c r="AA69" i="2"/>
  <c r="AB69" i="2"/>
  <c r="AC69" i="2"/>
  <c r="X70" i="2"/>
  <c r="Y70" i="2"/>
  <c r="Z70" i="2"/>
  <c r="AA70" i="2"/>
  <c r="AB70" i="2"/>
  <c r="AC70" i="2"/>
  <c r="X71" i="2"/>
  <c r="Y71" i="2"/>
  <c r="Z71" i="2"/>
  <c r="AA71" i="2"/>
  <c r="AB71" i="2"/>
  <c r="AC71" i="2"/>
  <c r="X72" i="2"/>
  <c r="Y72" i="2"/>
  <c r="Z72" i="2"/>
  <c r="AA72" i="2"/>
  <c r="AB72" i="2"/>
  <c r="AC72" i="2"/>
  <c r="X73" i="2"/>
  <c r="Y73" i="2"/>
  <c r="Z73" i="2"/>
  <c r="AA73" i="2"/>
  <c r="AB73" i="2"/>
  <c r="AC73" i="2"/>
  <c r="X74" i="2"/>
  <c r="Y74" i="2"/>
  <c r="Z74" i="2"/>
  <c r="AA74" i="2"/>
  <c r="AB74" i="2"/>
  <c r="AC74" i="2"/>
  <c r="X75" i="2"/>
  <c r="Y75" i="2"/>
  <c r="Z75" i="2"/>
  <c r="AA75" i="2"/>
  <c r="AB75" i="2"/>
  <c r="AC75" i="2"/>
  <c r="X76" i="2"/>
  <c r="Y76" i="2"/>
  <c r="Z76" i="2"/>
  <c r="AA76" i="2"/>
  <c r="AB76" i="2"/>
  <c r="AC76" i="2"/>
  <c r="X77" i="2"/>
  <c r="Y77" i="2"/>
  <c r="Z77" i="2"/>
  <c r="AA77" i="2"/>
  <c r="AB77" i="2"/>
  <c r="AC77" i="2"/>
  <c r="X78" i="2"/>
  <c r="Y78" i="2"/>
  <c r="Z78" i="2"/>
  <c r="AA78" i="2"/>
  <c r="AB78" i="2"/>
  <c r="AC78" i="2"/>
  <c r="X79" i="2"/>
  <c r="Y79" i="2"/>
  <c r="Z79" i="2"/>
  <c r="AA79" i="2"/>
  <c r="AB79" i="2"/>
  <c r="AC79" i="2"/>
  <c r="X80" i="2"/>
  <c r="Y80" i="2"/>
  <c r="Z80" i="2"/>
  <c r="AA80" i="2"/>
  <c r="AB80" i="2"/>
  <c r="AC80" i="2"/>
  <c r="X81" i="2"/>
  <c r="Y81" i="2"/>
  <c r="Z81" i="2"/>
  <c r="AA81" i="2"/>
  <c r="AB81" i="2"/>
  <c r="AC81" i="2"/>
  <c r="X82" i="2"/>
  <c r="Y82" i="2"/>
  <c r="Z82" i="2"/>
  <c r="AA82" i="2"/>
  <c r="AB82" i="2"/>
  <c r="AC82" i="2"/>
  <c r="X83" i="2"/>
  <c r="Y83" i="2"/>
  <c r="Z83" i="2"/>
  <c r="AA83" i="2"/>
  <c r="AB83" i="2"/>
  <c r="AC83" i="2"/>
  <c r="X84" i="2"/>
  <c r="Y84" i="2"/>
  <c r="Z84" i="2"/>
  <c r="AA84" i="2"/>
  <c r="AB84" i="2"/>
  <c r="AC84" i="2"/>
  <c r="X85" i="2"/>
  <c r="Y85" i="2"/>
  <c r="Z85" i="2"/>
  <c r="AA85" i="2"/>
  <c r="AB85" i="2"/>
  <c r="AC85" i="2"/>
  <c r="X86" i="2"/>
  <c r="Y86" i="2"/>
  <c r="Z86" i="2"/>
  <c r="AA86" i="2"/>
  <c r="AB86" i="2"/>
  <c r="AC86" i="2"/>
  <c r="X87" i="2"/>
  <c r="Y87" i="2"/>
  <c r="Z87" i="2"/>
  <c r="AA87" i="2"/>
  <c r="AB87" i="2"/>
  <c r="AC87" i="2"/>
  <c r="X88" i="2"/>
  <c r="Y88" i="2"/>
  <c r="Z88" i="2"/>
  <c r="AA88" i="2"/>
  <c r="AB88" i="2"/>
  <c r="AC88" i="2"/>
  <c r="X89" i="2"/>
  <c r="Y89" i="2"/>
  <c r="Z89" i="2"/>
  <c r="AA89" i="2"/>
  <c r="AB89" i="2"/>
  <c r="AC89" i="2"/>
  <c r="X90" i="2"/>
  <c r="Y90" i="2"/>
  <c r="Z90" i="2"/>
  <c r="AA90" i="2"/>
  <c r="AB90" i="2"/>
  <c r="AC90" i="2"/>
  <c r="X91" i="2"/>
  <c r="Y91" i="2"/>
  <c r="Z91" i="2"/>
  <c r="AA91" i="2"/>
  <c r="AB91" i="2"/>
  <c r="AC91" i="2"/>
  <c r="X92" i="2"/>
  <c r="Y92" i="2"/>
  <c r="Z92" i="2"/>
  <c r="AA92" i="2"/>
  <c r="AB92" i="2"/>
  <c r="AC92" i="2"/>
  <c r="X93" i="2"/>
  <c r="Y93" i="2"/>
  <c r="Z93" i="2"/>
  <c r="AA93" i="2"/>
  <c r="AB93" i="2"/>
  <c r="AC93" i="2"/>
  <c r="X94" i="2"/>
  <c r="Y94" i="2"/>
  <c r="Z94" i="2"/>
  <c r="AA94" i="2"/>
  <c r="AB94" i="2"/>
  <c r="AC94" i="2"/>
  <c r="X95" i="2"/>
  <c r="Y95" i="2"/>
  <c r="Z95" i="2"/>
  <c r="AA95" i="2"/>
  <c r="AB95" i="2"/>
  <c r="AC95" i="2"/>
  <c r="X96" i="2"/>
  <c r="Y96" i="2"/>
  <c r="Z96" i="2"/>
  <c r="AA96" i="2"/>
  <c r="AB96" i="2"/>
  <c r="AC96" i="2"/>
  <c r="X97" i="2"/>
  <c r="Y97" i="2"/>
  <c r="Z97" i="2"/>
  <c r="AA97" i="2"/>
  <c r="AB97" i="2"/>
  <c r="AC97" i="2"/>
  <c r="X98" i="2"/>
  <c r="Y98" i="2"/>
  <c r="Z98" i="2"/>
  <c r="AA98" i="2"/>
  <c r="AB98" i="2"/>
  <c r="AC98" i="2"/>
  <c r="X99" i="2"/>
  <c r="Y99" i="2"/>
  <c r="Z99" i="2"/>
  <c r="AA99" i="2"/>
  <c r="AB99" i="2"/>
  <c r="AC99" i="2"/>
  <c r="X100" i="2"/>
  <c r="Y100" i="2"/>
  <c r="Z100" i="2"/>
  <c r="AA100" i="2"/>
  <c r="AB100" i="2"/>
  <c r="AC100" i="2"/>
  <c r="X101" i="2"/>
  <c r="Y101" i="2"/>
  <c r="Z101" i="2"/>
  <c r="AA101" i="2"/>
  <c r="AB101" i="2"/>
  <c r="AC101" i="2"/>
  <c r="X102" i="2"/>
  <c r="Y102" i="2"/>
  <c r="Z102" i="2"/>
  <c r="AA102" i="2"/>
  <c r="AB102" i="2"/>
  <c r="AC102" i="2"/>
  <c r="X103" i="2"/>
  <c r="Y103" i="2"/>
  <c r="Z103" i="2"/>
  <c r="AA103" i="2"/>
  <c r="AB103" i="2"/>
  <c r="AC103" i="2"/>
  <c r="X104" i="2"/>
  <c r="Y104" i="2"/>
  <c r="Z104" i="2"/>
  <c r="AA104" i="2"/>
  <c r="AB104" i="2"/>
  <c r="AC104" i="2"/>
  <c r="X105" i="2"/>
  <c r="Y105" i="2"/>
  <c r="Z105" i="2"/>
  <c r="AA105" i="2"/>
  <c r="AB105" i="2"/>
  <c r="AC105" i="2"/>
  <c r="X106" i="2"/>
  <c r="Y106" i="2"/>
  <c r="Z106" i="2"/>
  <c r="AA106" i="2"/>
  <c r="AB106" i="2"/>
  <c r="AC106" i="2"/>
  <c r="X107" i="2"/>
  <c r="Y107" i="2"/>
  <c r="Z107" i="2"/>
  <c r="AA107" i="2"/>
  <c r="AB107" i="2"/>
  <c r="AC107" i="2"/>
  <c r="X108" i="2"/>
  <c r="Y108" i="2"/>
  <c r="Z108" i="2"/>
  <c r="AA108" i="2"/>
  <c r="AB108" i="2"/>
  <c r="AC108" i="2"/>
  <c r="X109" i="2"/>
  <c r="Y109" i="2"/>
  <c r="Z109" i="2"/>
  <c r="AA109" i="2"/>
  <c r="AB109" i="2"/>
  <c r="AC109" i="2"/>
  <c r="X110" i="2"/>
  <c r="Y110" i="2"/>
  <c r="Z110" i="2"/>
  <c r="AA110" i="2"/>
  <c r="AB110" i="2"/>
  <c r="AC110" i="2"/>
  <c r="X111" i="2"/>
  <c r="Y111" i="2"/>
  <c r="Z111" i="2"/>
  <c r="AA111" i="2"/>
  <c r="AB111" i="2"/>
  <c r="AC111" i="2"/>
  <c r="X112" i="2"/>
  <c r="Y112" i="2"/>
  <c r="Z112" i="2"/>
  <c r="AA112" i="2"/>
  <c r="AB112" i="2"/>
  <c r="AC112" i="2"/>
  <c r="X113" i="2"/>
  <c r="Y113" i="2"/>
  <c r="Z113" i="2"/>
  <c r="AA113" i="2"/>
  <c r="AB113" i="2"/>
  <c r="AC113" i="2"/>
  <c r="X114" i="2"/>
  <c r="Y114" i="2"/>
  <c r="Z114" i="2"/>
  <c r="AA114" i="2"/>
  <c r="AB114" i="2"/>
  <c r="AC114" i="2"/>
  <c r="X115" i="2"/>
  <c r="Y115" i="2"/>
  <c r="Z115" i="2"/>
  <c r="AA115" i="2"/>
  <c r="AB115" i="2"/>
  <c r="AC115" i="2"/>
  <c r="X116" i="2"/>
  <c r="Y116" i="2"/>
  <c r="Z116" i="2"/>
  <c r="AA116" i="2"/>
  <c r="AB116" i="2"/>
  <c r="AC116" i="2"/>
  <c r="X117" i="2"/>
  <c r="Y117" i="2"/>
  <c r="Z117" i="2"/>
  <c r="AA117" i="2"/>
  <c r="AB117" i="2"/>
  <c r="AC117" i="2"/>
  <c r="X118" i="2"/>
  <c r="Y118" i="2"/>
  <c r="Z118" i="2"/>
  <c r="AA118" i="2"/>
  <c r="AB118" i="2"/>
  <c r="AC118" i="2"/>
  <c r="X119" i="2"/>
  <c r="Y119" i="2"/>
  <c r="Z119" i="2"/>
  <c r="AA119" i="2"/>
  <c r="AB119" i="2"/>
  <c r="AC119" i="2"/>
  <c r="X120" i="2"/>
  <c r="Y120" i="2"/>
  <c r="Z120" i="2"/>
  <c r="AA120" i="2"/>
  <c r="AB120" i="2"/>
  <c r="AC120" i="2"/>
  <c r="X121" i="2"/>
  <c r="Y121" i="2"/>
  <c r="Z121" i="2"/>
  <c r="AA121" i="2"/>
  <c r="AB121" i="2"/>
  <c r="AC121" i="2"/>
  <c r="X122" i="2"/>
  <c r="Y122" i="2"/>
  <c r="Z122" i="2"/>
  <c r="AA122" i="2"/>
  <c r="AB122" i="2"/>
  <c r="AC122" i="2"/>
  <c r="X123" i="2"/>
  <c r="Y123" i="2"/>
  <c r="Z123" i="2"/>
  <c r="AA123" i="2"/>
  <c r="AB123" i="2"/>
  <c r="AC123" i="2"/>
  <c r="X124" i="2"/>
  <c r="Y124" i="2"/>
  <c r="Z124" i="2"/>
  <c r="AA124" i="2"/>
  <c r="AB124" i="2"/>
  <c r="AC124" i="2"/>
  <c r="X125" i="2"/>
  <c r="Y125" i="2"/>
  <c r="Z125" i="2"/>
  <c r="AA125" i="2"/>
  <c r="AB125" i="2"/>
  <c r="AC125" i="2"/>
  <c r="X126" i="2"/>
  <c r="Y126" i="2"/>
  <c r="Z126" i="2"/>
  <c r="AA126" i="2"/>
  <c r="AB126" i="2"/>
  <c r="AC126" i="2"/>
  <c r="X127" i="2"/>
  <c r="Y127" i="2"/>
  <c r="Z127" i="2"/>
  <c r="AA127" i="2"/>
  <c r="AB127" i="2"/>
  <c r="AC127" i="2"/>
  <c r="X128" i="2"/>
  <c r="Y128" i="2"/>
  <c r="Z128" i="2"/>
  <c r="AA128" i="2"/>
  <c r="AB128" i="2"/>
  <c r="AC128" i="2"/>
  <c r="X129" i="2"/>
  <c r="Y129" i="2"/>
  <c r="Z129" i="2"/>
  <c r="AA129" i="2"/>
  <c r="AB129" i="2"/>
  <c r="AC129" i="2"/>
  <c r="X130" i="2"/>
  <c r="Y130" i="2"/>
  <c r="Z130" i="2"/>
  <c r="AA130" i="2"/>
  <c r="AB130" i="2"/>
  <c r="AC130" i="2"/>
  <c r="X131" i="2"/>
  <c r="Y131" i="2"/>
  <c r="Z131" i="2"/>
  <c r="AA131" i="2"/>
  <c r="AB131" i="2"/>
  <c r="AC131" i="2"/>
  <c r="X132" i="2"/>
  <c r="Y132" i="2"/>
  <c r="Z132" i="2"/>
  <c r="AA132" i="2"/>
  <c r="AB132" i="2"/>
  <c r="AC132" i="2"/>
  <c r="X133" i="2"/>
  <c r="Y133" i="2"/>
  <c r="Z133" i="2"/>
  <c r="AA133" i="2"/>
  <c r="AB133" i="2"/>
  <c r="AC133" i="2"/>
  <c r="X134" i="2"/>
  <c r="Y134" i="2"/>
  <c r="Z134" i="2"/>
  <c r="AA134" i="2"/>
  <c r="AB134" i="2"/>
  <c r="AC134" i="2"/>
  <c r="X135" i="2"/>
  <c r="Y135" i="2"/>
  <c r="Z135" i="2"/>
  <c r="AA135" i="2"/>
  <c r="AB135" i="2"/>
  <c r="AC135" i="2"/>
  <c r="X136" i="2"/>
  <c r="Y136" i="2"/>
  <c r="Z136" i="2"/>
  <c r="AA136" i="2"/>
  <c r="AB136" i="2"/>
  <c r="AC136" i="2"/>
  <c r="X137" i="2"/>
  <c r="Y137" i="2"/>
  <c r="Z137" i="2"/>
  <c r="AA137" i="2"/>
  <c r="AB137" i="2"/>
  <c r="AC137" i="2"/>
  <c r="X138" i="2"/>
  <c r="Y138" i="2"/>
  <c r="Z138" i="2"/>
  <c r="AA138" i="2"/>
  <c r="AB138" i="2"/>
  <c r="AC138" i="2"/>
  <c r="X139" i="2"/>
  <c r="Y139" i="2"/>
  <c r="Z139" i="2"/>
  <c r="AA139" i="2"/>
  <c r="AB139" i="2"/>
  <c r="AC139" i="2"/>
  <c r="X140" i="2"/>
  <c r="Y140" i="2"/>
  <c r="Z140" i="2"/>
  <c r="AA140" i="2"/>
  <c r="AB140" i="2"/>
  <c r="AC140" i="2"/>
  <c r="X141" i="2"/>
  <c r="Y141" i="2"/>
  <c r="Z141" i="2"/>
  <c r="AA141" i="2"/>
  <c r="AB141" i="2"/>
  <c r="AC141" i="2"/>
  <c r="X142" i="2"/>
  <c r="Y142" i="2"/>
  <c r="Z142" i="2"/>
  <c r="AA142" i="2"/>
  <c r="AB142" i="2"/>
  <c r="AC142" i="2"/>
  <c r="X143" i="2"/>
  <c r="Y143" i="2"/>
  <c r="Z143" i="2"/>
  <c r="AA143" i="2"/>
  <c r="AB143" i="2"/>
  <c r="AC143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5" i="2"/>
  <c r="C2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4" i="1"/>
</calcChain>
</file>

<file path=xl/sharedStrings.xml><?xml version="1.0" encoding="utf-8"?>
<sst xmlns="http://schemas.openxmlformats.org/spreadsheetml/2006/main" count="1616" uniqueCount="162">
  <si>
    <t>ROI Name</t>
  </si>
  <si>
    <t>ROI7</t>
  </si>
  <si>
    <t>ROI8</t>
  </si>
  <si>
    <t>ROI9</t>
  </si>
  <si>
    <t>ROI10</t>
  </si>
  <si>
    <t>ROI11</t>
  </si>
  <si>
    <t>ROI12</t>
  </si>
  <si>
    <t>ROI13</t>
  </si>
  <si>
    <t>2025-09-04 09:46:04.000</t>
  </si>
  <si>
    <t>2025-09-04 10:00:21.000</t>
  </si>
  <si>
    <t>2025-09-04 10:00:22.000</t>
  </si>
  <si>
    <t>2025-09-04 10:00:23.000</t>
  </si>
  <si>
    <t>2025-09-04 10:00:28.000</t>
  </si>
  <si>
    <t>2025-09-04 10:00:31.000</t>
  </si>
  <si>
    <t>2025-09-04 10:04:28.000</t>
  </si>
  <si>
    <t>2025-09-04 10:04:29.000</t>
  </si>
  <si>
    <t>2025-09-04 10:04:30.000</t>
  </si>
  <si>
    <t>2025-09-04 10:04:36.000</t>
  </si>
  <si>
    <t>2025-09-04 10:04:37.000</t>
  </si>
  <si>
    <t>2025-09-04 10:04:39.000</t>
  </si>
  <si>
    <t>2025-09-04 10:04:40.000</t>
  </si>
  <si>
    <t>2025-09-04 10:04:41.000</t>
  </si>
  <si>
    <t>2025-09-04 10:04:42.000</t>
  </si>
  <si>
    <t>2025-09-04 10:04:43.000</t>
  </si>
  <si>
    <t>2025-09-04 10:04:44.000</t>
  </si>
  <si>
    <t>2025-09-04 10:04:45.000</t>
  </si>
  <si>
    <t>2025-09-04 10:04:46.000</t>
  </si>
  <si>
    <t>2025-09-04 10:04:47.000</t>
  </si>
  <si>
    <t>2025-09-04 10:04:48.000</t>
  </si>
  <si>
    <t>2025-09-04 10:04:49.000</t>
  </si>
  <si>
    <t>2025-09-04 10:04:50.000</t>
  </si>
  <si>
    <t>2025-09-04 10:04:51.000</t>
  </si>
  <si>
    <t>2025-09-04 10:04:52.000</t>
  </si>
  <si>
    <t>2025-09-04 10:04:53.000</t>
  </si>
  <si>
    <t>2025-09-04 10:04:54.000</t>
  </si>
  <si>
    <t>2025-09-04 10:04:55.000</t>
  </si>
  <si>
    <t>2025-09-04 10:04:56.000</t>
  </si>
  <si>
    <t>2025-09-04 10:04:57.000</t>
  </si>
  <si>
    <t>2025-09-04 10:04:58.000</t>
  </si>
  <si>
    <t>2025-09-04 10:04:59.000</t>
  </si>
  <si>
    <t>2025-09-04 10:05:00.000</t>
  </si>
  <si>
    <t>2025-09-04 10:05:01.000</t>
  </si>
  <si>
    <t>2025-09-04 10:06:31.000</t>
  </si>
  <si>
    <t>2025-09-04 10:06:40.000</t>
  </si>
  <si>
    <t>2025-09-04 10:08:35.000</t>
  </si>
  <si>
    <t>2025-09-04 10:08:36.000</t>
  </si>
  <si>
    <t>2025-09-04 10:08:37.000</t>
  </si>
  <si>
    <t>2025-09-04 10:08:38.000</t>
  </si>
  <si>
    <t>2025-09-04 10:08:39.000</t>
  </si>
  <si>
    <t>2025-09-04 10:08:41.000</t>
  </si>
  <si>
    <t>2025-09-04 10:08:42.000</t>
  </si>
  <si>
    <t>2025-09-04 10:08:46.000</t>
  </si>
  <si>
    <t>2025-09-04 10:08:47.000</t>
  </si>
  <si>
    <t>2025-09-04 10:08:48.000</t>
  </si>
  <si>
    <t>2025-09-04 10:08:53.000</t>
  </si>
  <si>
    <t>2025-09-04 10:08:54.000</t>
  </si>
  <si>
    <t>2025-09-04 10:10:54.000</t>
  </si>
  <si>
    <t>2025-09-04 10:10:55.000</t>
  </si>
  <si>
    <t>2025-09-04 10:10:56.000</t>
  </si>
  <si>
    <t>2025-09-04 10:10:57.000</t>
  </si>
  <si>
    <t>2025-09-04 10:10:58.000</t>
  </si>
  <si>
    <t>2025-09-04 10:10:59.000</t>
  </si>
  <si>
    <t>2025-09-04 10:11:01.000</t>
  </si>
  <si>
    <t>2025-09-04 10:11:02.000</t>
  </si>
  <si>
    <t>2025-09-04 10:11:03.000</t>
  </si>
  <si>
    <t>2025-09-04 10:11:04.000</t>
  </si>
  <si>
    <t>2025-09-04 10:11:11.000</t>
  </si>
  <si>
    <t>2025-09-04 10:11:12.000</t>
  </si>
  <si>
    <t>2025-09-04 10:11:13.000</t>
  </si>
  <si>
    <t>2025-09-04 10:11:14.000</t>
  </si>
  <si>
    <t>2025-09-04 10:12:57.000</t>
  </si>
  <si>
    <t>2025-09-04 10:12:59.000</t>
  </si>
  <si>
    <t>2025-09-04 10:13:02.000</t>
  </si>
  <si>
    <t>2025-09-04 10:13:03.000</t>
  </si>
  <si>
    <t>2025-09-04 10:13:04.000</t>
  </si>
  <si>
    <t>2025-09-04 10:18:59.000</t>
  </si>
  <si>
    <t>2025-09-04 10:19:00.000</t>
  </si>
  <si>
    <t>2025-09-04 10:19:01.000</t>
  </si>
  <si>
    <t>2025-09-04 10:19:02.000</t>
  </si>
  <si>
    <t>2025-09-04 10:19:03.000</t>
  </si>
  <si>
    <t>2025-09-04 10:19:04.000</t>
  </si>
  <si>
    <t>2025-09-04 10:19:05.000</t>
  </si>
  <si>
    <t>2025-09-04 10:19:06.000</t>
  </si>
  <si>
    <t>2025-09-04 10:21:04.000</t>
  </si>
  <si>
    <t>2025-09-04 10:21:05.000</t>
  </si>
  <si>
    <t>2025-09-04 10:21:06.000</t>
  </si>
  <si>
    <t>2025-09-04 10:23:10.000</t>
  </si>
  <si>
    <t>2025-09-04 10:23:11.000</t>
  </si>
  <si>
    <t>2025-09-04 10:23:12.000</t>
  </si>
  <si>
    <t>2025-09-04 10:23:13.000</t>
  </si>
  <si>
    <t>2025-09-04 10:23:14.000</t>
  </si>
  <si>
    <t>2025-09-04 10:23:15.000</t>
  </si>
  <si>
    <t>2025-09-04 10:23:16.000</t>
  </si>
  <si>
    <t>2025-09-04 10:23:17.000</t>
  </si>
  <si>
    <t>2025-09-04 10:23:18.000</t>
  </si>
  <si>
    <t>2025-09-04 10:23:19.000</t>
  </si>
  <si>
    <t>2025-09-04 10:23:20.000</t>
  </si>
  <si>
    <t>2025-09-04 10:23:21.000</t>
  </si>
  <si>
    <t>2025-09-04 10:23:22.000</t>
  </si>
  <si>
    <t>2025-09-04 10:23:23.000</t>
  </si>
  <si>
    <t>2025-09-04 10:29:51.000</t>
  </si>
  <si>
    <t>2025-09-04 10:29:52.000</t>
  </si>
  <si>
    <t>2025-09-04 10:35:59.000</t>
  </si>
  <si>
    <t>2025-09-04 10:00:24.000</t>
  </si>
  <si>
    <t>2025-09-04 10:00:26.000</t>
  </si>
  <si>
    <t>2025-09-04 10:00:29.000</t>
  </si>
  <si>
    <t>2025-09-04 10:04:31.000</t>
  </si>
  <si>
    <t>2025-09-04 10:04:32.000</t>
  </si>
  <si>
    <t>2025-09-04 10:04:34.000</t>
  </si>
  <si>
    <t>2025-09-04 10:04:35.000</t>
  </si>
  <si>
    <t>2025-09-04 10:06:32.000</t>
  </si>
  <si>
    <t>2025-09-04 10:06:33.000</t>
  </si>
  <si>
    <t>2025-09-04 10:06:34.000</t>
  </si>
  <si>
    <t>2025-09-04 10:06:35.000</t>
  </si>
  <si>
    <t>2025-09-04 10:06:36.000</t>
  </si>
  <si>
    <t>2025-09-04 10:06:37.000</t>
  </si>
  <si>
    <t>2025-09-04 10:06:38.000</t>
  </si>
  <si>
    <t>2025-09-04 10:08:49.000</t>
  </si>
  <si>
    <t>2025-09-04 10:08:50.000</t>
  </si>
  <si>
    <t>2025-09-04 10:08:51.000</t>
  </si>
  <si>
    <t>2025-09-04 10:08:52.000</t>
  </si>
  <si>
    <t>2025-09-04 10:08:55.000</t>
  </si>
  <si>
    <t>2025-09-04 10:08:58.000</t>
  </si>
  <si>
    <t>2025-09-04 10:09:03.000</t>
  </si>
  <si>
    <t>2025-09-04 10:09:04.000</t>
  </si>
  <si>
    <t>2025-09-04 10:09:05.000</t>
  </si>
  <si>
    <t>2025-09-04 10:09:06.000</t>
  </si>
  <si>
    <t>2025-09-04 10:10:47.000</t>
  </si>
  <si>
    <t>2025-09-04 10:10:48.000</t>
  </si>
  <si>
    <t>2025-09-04 10:10:49.000</t>
  </si>
  <si>
    <t>2025-09-04 10:11:00.000</t>
  </si>
  <si>
    <t>2025-09-04 10:11:05.000</t>
  </si>
  <si>
    <t>2025-09-04 10:11:09.000</t>
  </si>
  <si>
    <t>2025-09-04 10:12:51.000</t>
  </si>
  <si>
    <t>2025-09-04 10:12:52.000</t>
  </si>
  <si>
    <t>2025-09-04 10:12:53.000</t>
  </si>
  <si>
    <t>2025-09-04 10:12:58.000</t>
  </si>
  <si>
    <t>2025-09-04 10:13:01.000</t>
  </si>
  <si>
    <t>2025-09-04 10:21:11.000</t>
  </si>
  <si>
    <t>2025-09-04 10:00:25.000</t>
  </si>
  <si>
    <t>2025-09-04 10:21:07.000</t>
  </si>
  <si>
    <t>2025-09-04 10:21:08.000</t>
  </si>
  <si>
    <t>2025-09-04 09:58:20.000</t>
  </si>
  <si>
    <t>2025-09-04 10:11:08.000</t>
  </si>
  <si>
    <t>2025-09-04 10:08:43.000</t>
  </si>
  <si>
    <t>2025-09-04 10:08:44.000</t>
  </si>
  <si>
    <t>2025-09-04 10:21:09.000</t>
  </si>
  <si>
    <t>Blood Flow (1/K^2)</t>
  </si>
  <si>
    <t>Day and Time</t>
  </si>
  <si>
    <t>Surgery Time (hours:minutes:seconds)</t>
  </si>
  <si>
    <t>Row Labels</t>
  </si>
  <si>
    <t>Grand Total</t>
  </si>
  <si>
    <t>Column Labels</t>
  </si>
  <si>
    <t>Count of ROI Name</t>
  </si>
  <si>
    <t>Time</t>
  </si>
  <si>
    <t>ROI1</t>
  </si>
  <si>
    <t>ROI2</t>
  </si>
  <si>
    <t>ROI3</t>
  </si>
  <si>
    <t>ROI4</t>
  </si>
  <si>
    <t>ROI5</t>
  </si>
  <si>
    <t>ROI6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</si>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</sst>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h]:mm:ss;@"/>
    <numFmt numFmtId="170" formatCode="0.0"/>
  </numFmts>
  <fonts count="5" x14ac:knownFonts="1">
    <font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6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NumberFormat="1"/>
    <xf numFmtId="166" fontId="0" fillId="0" borderId="0" xfId="0" applyNumberFormat="1" applyAlignment="1">
      <alignment horizontal="left"/>
    </xf>
    <xf numFmtId="166" fontId="2" fillId="2" borderId="1" xfId="0" applyNumberFormat="1" applyFont="1" applyFill="1" applyBorder="1" applyAlignment="1">
      <alignment horizontal="left"/>
    </xf>
    <xf numFmtId="0" fontId="3" fillId="0" borderId="0" xfId="0" applyFont="1"/>
    <xf numFmtId="166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Miller" refreshedDate="45904.931043518518" createdVersion="8" refreshedVersion="8" minRefreshableVersion="3" recordCount="602" xr:uid="{277490CA-377C-BE42-B4BE-85C4F40EAD15}">
  <cacheSource type="worksheet">
    <worksheetSource ref="A1:D603" sheet="Data_Long_Form"/>
  </cacheSource>
  <cacheFields count="7">
    <cacheField name="ROI Name" numFmtId="0">
      <sharedItems count="7">
        <s v="ROI7"/>
        <s v="ROI8"/>
        <s v="ROI9"/>
        <s v="ROI10"/>
        <s v="ROI11"/>
        <s v="ROI12"/>
        <s v="ROI13"/>
      </sharedItems>
    </cacheField>
    <cacheField name="Day and Time" numFmtId="0">
      <sharedItems count="139">
        <s v="2025-09-04 09:46:04.000"/>
        <s v="2025-09-04 10:00:21.000"/>
        <s v="2025-09-04 10:00:22.000"/>
        <s v="2025-09-04 10:00:23.000"/>
        <s v="2025-09-04 10:00:28.000"/>
        <s v="2025-09-04 10:00:31.000"/>
        <s v="2025-09-04 10:04:28.000"/>
        <s v="2025-09-04 10:04:29.000"/>
        <s v="2025-09-04 10:04:30.000"/>
        <s v="2025-09-04 10:04:36.000"/>
        <s v="2025-09-04 10:04:37.000"/>
        <s v="2025-09-04 10:04:39.000"/>
        <s v="2025-09-04 10:04:40.000"/>
        <s v="2025-09-04 10:04:41.000"/>
        <s v="2025-09-04 10:04:42.000"/>
        <s v="2025-09-04 10:04:43.000"/>
        <s v="2025-09-04 10:04:44.000"/>
        <s v="2025-09-04 10:04:45.000"/>
        <s v="2025-09-04 10:04:46.000"/>
        <s v="2025-09-04 10:04:47.000"/>
        <s v="2025-09-04 10:04:48.000"/>
        <s v="2025-09-04 10:04:49.000"/>
        <s v="2025-09-04 10:04:50.000"/>
        <s v="2025-09-04 10:04:51.000"/>
        <s v="2025-09-04 10:04:52.000"/>
        <s v="2025-09-04 10:04:53.000"/>
        <s v="2025-09-04 10:04:54.000"/>
        <s v="2025-09-04 10:04:55.000"/>
        <s v="2025-09-04 10:04:56.000"/>
        <s v="2025-09-04 10:04:57.000"/>
        <s v="2025-09-04 10:04:58.000"/>
        <s v="2025-09-04 10:04:59.000"/>
        <s v="2025-09-04 10:05:00.000"/>
        <s v="2025-09-04 10:05:01.000"/>
        <s v="2025-09-04 10:06:31.000"/>
        <s v="2025-09-04 10:06:40.000"/>
        <s v="2025-09-04 10:08:35.000"/>
        <s v="2025-09-04 10:08:36.000"/>
        <s v="2025-09-04 10:08:37.000"/>
        <s v="2025-09-04 10:08:38.000"/>
        <s v="2025-09-04 10:08:39.000"/>
        <s v="2025-09-04 10:08:41.000"/>
        <s v="2025-09-04 10:08:42.000"/>
        <s v="2025-09-04 10:08:46.000"/>
        <s v="2025-09-04 10:08:47.000"/>
        <s v="2025-09-04 10:08:48.000"/>
        <s v="2025-09-04 10:08:53.000"/>
        <s v="2025-09-04 10:08:54.000"/>
        <s v="2025-09-04 10:10:54.000"/>
        <s v="2025-09-04 10:10:55.000"/>
        <s v="2025-09-04 10:10:56.000"/>
        <s v="2025-09-04 10:10:57.000"/>
        <s v="2025-09-04 10:10:58.000"/>
        <s v="2025-09-04 10:10:59.000"/>
        <s v="2025-09-04 10:11:01.000"/>
        <s v="2025-09-04 10:11:02.000"/>
        <s v="2025-09-04 10:11:03.000"/>
        <s v="2025-09-04 10:11:04.000"/>
        <s v="2025-09-04 10:11:11.000"/>
        <s v="2025-09-04 10:11:12.000"/>
        <s v="2025-09-04 10:11:13.000"/>
        <s v="2025-09-04 10:11:14.000"/>
        <s v="2025-09-04 10:12:57.000"/>
        <s v="2025-09-04 10:12:59.000"/>
        <s v="2025-09-04 10:13:02.000"/>
        <s v="2025-09-04 10:13:03.000"/>
        <s v="2025-09-04 10:13:04.000"/>
        <s v="2025-09-04 10:18:59.000"/>
        <s v="2025-09-04 10:19:00.000"/>
        <s v="2025-09-04 10:19:01.000"/>
        <s v="2025-09-04 10:19:02.000"/>
        <s v="2025-09-04 10:19:03.000"/>
        <s v="2025-09-04 10:19:04.000"/>
        <s v="2025-09-04 10:19:05.000"/>
        <s v="2025-09-04 10:19:06.000"/>
        <s v="2025-09-04 10:21:04.000"/>
        <s v="2025-09-04 10:21:05.000"/>
        <s v="2025-09-04 10:21:06.000"/>
        <s v="2025-09-04 10:23:10.000"/>
        <s v="2025-09-04 10:23:11.000"/>
        <s v="2025-09-04 10:23:12.000"/>
        <s v="2025-09-04 10:23:13.000"/>
        <s v="2025-09-04 10:23:14.000"/>
        <s v="2025-09-04 10:23:15.000"/>
        <s v="2025-09-04 10:23:16.000"/>
        <s v="2025-09-04 10:23:17.000"/>
        <s v="2025-09-04 10:23:18.000"/>
        <s v="2025-09-04 10:23:19.000"/>
        <s v="2025-09-04 10:23:20.000"/>
        <s v="2025-09-04 10:23:21.000"/>
        <s v="2025-09-04 10:23:22.000"/>
        <s v="2025-09-04 10:23:23.000"/>
        <s v="2025-09-04 10:29:51.000"/>
        <s v="2025-09-04 10:29:52.000"/>
        <s v="2025-09-04 10:35:59.000"/>
        <s v="2025-09-04 10:00:24.000"/>
        <s v="2025-09-04 10:00:26.000"/>
        <s v="2025-09-04 10:00:29.000"/>
        <s v="2025-09-04 10:04:31.000"/>
        <s v="2025-09-04 10:04:32.000"/>
        <s v="2025-09-04 10:04:34.000"/>
        <s v="2025-09-04 10:04:35.000"/>
        <s v="2025-09-04 10:06:32.000"/>
        <s v="2025-09-04 10:06:33.000"/>
        <s v="2025-09-04 10:06:34.000"/>
        <s v="2025-09-04 10:06:35.000"/>
        <s v="2025-09-04 10:06:36.000"/>
        <s v="2025-09-04 10:06:37.000"/>
        <s v="2025-09-04 10:06:38.000"/>
        <s v="2025-09-04 10:08:49.000"/>
        <s v="2025-09-04 10:08:50.000"/>
        <s v="2025-09-04 10:08:51.000"/>
        <s v="2025-09-04 10:08:52.000"/>
        <s v="2025-09-04 10:08:55.000"/>
        <s v="2025-09-04 10:08:58.000"/>
        <s v="2025-09-04 10:09:03.000"/>
        <s v="2025-09-04 10:09:04.000"/>
        <s v="2025-09-04 10:09:05.000"/>
        <s v="2025-09-04 10:09:06.000"/>
        <s v="2025-09-04 10:10:47.000"/>
        <s v="2025-09-04 10:10:48.000"/>
        <s v="2025-09-04 10:10:49.000"/>
        <s v="2025-09-04 10:11:00.000"/>
        <s v="2025-09-04 10:11:05.000"/>
        <s v="2025-09-04 10:11:09.000"/>
        <s v="2025-09-04 10:12:51.000"/>
        <s v="2025-09-04 10:12:52.000"/>
        <s v="2025-09-04 10:12:53.000"/>
        <s v="2025-09-04 10:12:58.000"/>
        <s v="2025-09-04 10:13:01.000"/>
        <s v="2025-09-04 10:21:11.000"/>
        <s v="2025-09-04 10:00:25.000"/>
        <s v="2025-09-04 10:21:07.000"/>
        <s v="2025-09-04 10:21:08.000"/>
        <s v="2025-09-04 09:58:20.000"/>
        <s v="2025-09-04 10:11:08.000"/>
        <s v="2025-09-04 10:08:43.000"/>
        <s v="2025-09-04 10:08:44.000"/>
        <s v="2025-09-04 10:21:09.000"/>
      </sharedItems>
    </cacheField>
    <cacheField name="Surgery Time (hours:minutes:seconds)" numFmtId="166">
      <sharedItems containsSemiMixedTypes="0" containsNonDate="0" containsDate="1" containsString="0" minDate="1899-12-30T09:46:04" maxDate="1899-12-30T10:35:59" count="139">
        <d v="1899-12-30T09:46:04"/>
        <d v="1899-12-30T10:00:21"/>
        <d v="1899-12-30T10:00:22"/>
        <d v="1899-12-30T10:00:23"/>
        <d v="1899-12-30T10:00:28"/>
        <d v="1899-12-30T10:00:31"/>
        <d v="1899-12-30T10:04:28"/>
        <d v="1899-12-30T10:04:29"/>
        <d v="1899-12-30T10:04:30"/>
        <d v="1899-12-30T10:04:36"/>
        <d v="1899-12-30T10:04:37"/>
        <d v="1899-12-30T10:04:39"/>
        <d v="1899-12-30T10:04:40"/>
        <d v="1899-12-30T10:04:41"/>
        <d v="1899-12-30T10:04:42"/>
        <d v="1899-12-30T10:04:43"/>
        <d v="1899-12-30T10:04:44"/>
        <d v="1899-12-30T10:04:45"/>
        <d v="1899-12-30T10:04:46"/>
        <d v="1899-12-30T10:04:47"/>
        <d v="1899-12-30T10:04:48"/>
        <d v="1899-12-30T10:04:49"/>
        <d v="1899-12-30T10:04:50"/>
        <d v="1899-12-30T10:04:51"/>
        <d v="1899-12-30T10:04:52"/>
        <d v="1899-12-30T10:04:53"/>
        <d v="1899-12-30T10:04:54"/>
        <d v="1899-12-30T10:04:55"/>
        <d v="1899-12-30T10:04:56"/>
        <d v="1899-12-30T10:04:57"/>
        <d v="1899-12-30T10:04:58"/>
        <d v="1899-12-30T10:04:59"/>
        <d v="1899-12-30T10:05:00"/>
        <d v="1899-12-30T10:05:01"/>
        <d v="1899-12-30T10:06:31"/>
        <d v="1899-12-30T10:06:40"/>
        <d v="1899-12-30T10:08:35"/>
        <d v="1899-12-30T10:08:36"/>
        <d v="1899-12-30T10:08:37"/>
        <d v="1899-12-30T10:08:38"/>
        <d v="1899-12-30T10:08:39"/>
        <d v="1899-12-30T10:08:41"/>
        <d v="1899-12-30T10:08:42"/>
        <d v="1899-12-30T10:08:46"/>
        <d v="1899-12-30T10:08:47"/>
        <d v="1899-12-30T10:08:48"/>
        <d v="1899-12-30T10:08:53"/>
        <d v="1899-12-30T10:08:54"/>
        <d v="1899-12-30T10:10:54"/>
        <d v="1899-12-30T10:10:55"/>
        <d v="1899-12-30T10:10:56"/>
        <d v="1899-12-30T10:10:57"/>
        <d v="1899-12-30T10:10:58"/>
        <d v="1899-12-30T10:10:59"/>
        <d v="1899-12-30T10:11:01"/>
        <d v="1899-12-30T10:11:02"/>
        <d v="1899-12-30T10:11:03"/>
        <d v="1899-12-30T10:11:04"/>
        <d v="1899-12-30T10:11:11"/>
        <d v="1899-12-30T10:11:12"/>
        <d v="1899-12-30T10:11:13"/>
        <d v="1899-12-30T10:11:14"/>
        <d v="1899-12-30T10:12:57"/>
        <d v="1899-12-30T10:12:59"/>
        <d v="1899-12-30T10:13:02"/>
        <d v="1899-12-30T10:13:03"/>
        <d v="1899-12-30T10:13:04"/>
        <d v="1899-12-30T10:18:59"/>
        <d v="1899-12-30T10:19:00"/>
        <d v="1899-12-30T10:19:01"/>
        <d v="1899-12-30T10:19:02"/>
        <d v="1899-12-30T10:19:03"/>
        <d v="1899-12-30T10:19:04"/>
        <d v="1899-12-30T10:19:05"/>
        <d v="1899-12-30T10:19:06"/>
        <d v="1899-12-30T10:21:04"/>
        <d v="1899-12-30T10:21:05"/>
        <d v="1899-12-30T10:21:06"/>
        <d v="1899-12-30T10:23:10"/>
        <d v="1899-12-30T10:23:11"/>
        <d v="1899-12-30T10:23:12"/>
        <d v="1899-12-30T10:23:13"/>
        <d v="1899-12-30T10:23:14"/>
        <d v="1899-12-30T10:23:15"/>
        <d v="1899-12-30T10:23:16"/>
        <d v="1899-12-30T10:23:17"/>
        <d v="1899-12-30T10:23:18"/>
        <d v="1899-12-30T10:23:19"/>
        <d v="1899-12-30T10:23:20"/>
        <d v="1899-12-30T10:23:21"/>
        <d v="1899-12-30T10:23:22"/>
        <d v="1899-12-30T10:23:23"/>
        <d v="1899-12-30T10:29:51"/>
        <d v="1899-12-30T10:29:52"/>
        <d v="1899-12-30T10:35:59"/>
        <d v="1899-12-30T10:00:24"/>
        <d v="1899-12-30T10:00:26"/>
        <d v="1899-12-30T10:00:29"/>
        <d v="1899-12-30T10:04:31"/>
        <d v="1899-12-30T10:04:32"/>
        <d v="1899-12-30T10:04:34"/>
        <d v="1899-12-30T10:04:35"/>
        <d v="1899-12-30T10:06:32"/>
        <d v="1899-12-30T10:06:33"/>
        <d v="1899-12-30T10:06:34"/>
        <d v="1899-12-30T10:06:35"/>
        <d v="1899-12-30T10:06:36"/>
        <d v="1899-12-30T10:06:37"/>
        <d v="1899-12-30T10:06:38"/>
        <d v="1899-12-30T10:08:49"/>
        <d v="1899-12-30T10:08:50"/>
        <d v="1899-12-30T10:08:51"/>
        <d v="1899-12-30T10:08:52"/>
        <d v="1899-12-30T10:08:55"/>
        <d v="1899-12-30T10:08:58"/>
        <d v="1899-12-30T10:09:03"/>
        <d v="1899-12-30T10:09:04"/>
        <d v="1899-12-30T10:09:05"/>
        <d v="1899-12-30T10:09:06"/>
        <d v="1899-12-30T10:10:47"/>
        <d v="1899-12-30T10:10:48"/>
        <d v="1899-12-30T10:10:49"/>
        <d v="1899-12-30T10:11:00"/>
        <d v="1899-12-30T10:11:05"/>
        <d v="1899-12-30T10:11:09"/>
        <d v="1899-12-30T10:12:51"/>
        <d v="1899-12-30T10:12:52"/>
        <d v="1899-12-30T10:12:53"/>
        <d v="1899-12-30T10:12:58"/>
        <d v="1899-12-30T10:13:01"/>
        <d v="1899-12-30T10:21:11"/>
        <d v="1899-12-30T10:00:25"/>
        <d v="1899-12-30T10:21:07"/>
        <d v="1899-12-30T10:21:08"/>
        <d v="1899-12-30T09:58:20"/>
        <d v="1899-12-30T10:11:08"/>
        <d v="1899-12-30T10:08:43"/>
        <d v="1899-12-30T10:08:44"/>
        <d v="1899-12-30T10:21:09"/>
      </sharedItems>
      <fieldGroup par="6"/>
    </cacheField>
    <cacheField name="Blood Flow (1/K^2)" numFmtId="0">
      <sharedItems containsSemiMixedTypes="0" containsString="0" containsNumber="1" minValue="122.78669762651063" maxValue="587.75590568533482"/>
    </cacheField>
    <cacheField name="Seconds (Surgery Time (hours:minutes:seconds))" numFmtId="0" databaseField="0">
      <fieldGroup base="2">
        <rangePr groupBy="seconds" startDate="1899-12-30T09:46:04" endDate="1899-12-30T10:35:59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Minutes (Surgery Time (hours:minutes:seconds))" numFmtId="0" databaseField="0">
      <fieldGroup base="2">
        <rangePr groupBy="minutes" startDate="1899-12-30T09:46:04" endDate="1899-12-30T10:35:59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Hours (Surgery Time (hours:minutes:seconds))" numFmtId="0" databaseField="0">
      <fieldGroup base="2">
        <rangePr groupBy="hours" startDate="1899-12-30T09:46:04" endDate="1899-12-30T10:35:59"/>
        <groupItems count="26">
          <s v="&lt;1/0/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x v="0"/>
    <x v="0"/>
    <x v="0"/>
    <n v="225.33325198560496"/>
  </r>
  <r>
    <x v="0"/>
    <x v="1"/>
    <x v="1"/>
    <n v="251.86392825060227"/>
  </r>
  <r>
    <x v="0"/>
    <x v="2"/>
    <x v="2"/>
    <n v="253.14317548011988"/>
  </r>
  <r>
    <x v="0"/>
    <x v="3"/>
    <x v="3"/>
    <n v="260.66468661069456"/>
  </r>
  <r>
    <x v="0"/>
    <x v="4"/>
    <x v="4"/>
    <n v="193.4981196288098"/>
  </r>
  <r>
    <x v="0"/>
    <x v="5"/>
    <x v="5"/>
    <n v="257.20163195026731"/>
  </r>
  <r>
    <x v="0"/>
    <x v="6"/>
    <x v="6"/>
    <n v="333.18790088581318"/>
  </r>
  <r>
    <x v="0"/>
    <x v="7"/>
    <x v="7"/>
    <n v="289.87583779811206"/>
  </r>
  <r>
    <x v="0"/>
    <x v="8"/>
    <x v="8"/>
    <n v="299.12922452697393"/>
  </r>
  <r>
    <x v="0"/>
    <x v="9"/>
    <x v="9"/>
    <n v="330.76576865742447"/>
  </r>
  <r>
    <x v="0"/>
    <x v="10"/>
    <x v="10"/>
    <n v="324.15881062988456"/>
  </r>
  <r>
    <x v="0"/>
    <x v="11"/>
    <x v="11"/>
    <n v="324.43145990632769"/>
  </r>
  <r>
    <x v="0"/>
    <x v="12"/>
    <x v="12"/>
    <n v="325.08345954186177"/>
  </r>
  <r>
    <x v="0"/>
    <x v="13"/>
    <x v="13"/>
    <n v="318.89795314864574"/>
  </r>
  <r>
    <x v="0"/>
    <x v="14"/>
    <x v="14"/>
    <n v="317.62927593534528"/>
  </r>
  <r>
    <x v="0"/>
    <x v="15"/>
    <x v="15"/>
    <n v="360.98467626520198"/>
  </r>
  <r>
    <x v="0"/>
    <x v="16"/>
    <x v="16"/>
    <n v="317.50218593603779"/>
  </r>
  <r>
    <x v="0"/>
    <x v="17"/>
    <x v="17"/>
    <n v="334.9661312286396"/>
  </r>
  <r>
    <x v="0"/>
    <x v="18"/>
    <x v="18"/>
    <n v="342.43744636345923"/>
  </r>
  <r>
    <x v="0"/>
    <x v="19"/>
    <x v="19"/>
    <n v="340.0946640529599"/>
  </r>
  <r>
    <x v="0"/>
    <x v="20"/>
    <x v="20"/>
    <n v="337.41801027392484"/>
  </r>
  <r>
    <x v="0"/>
    <x v="21"/>
    <x v="21"/>
    <n v="344.51895944077216"/>
  </r>
  <r>
    <x v="0"/>
    <x v="22"/>
    <x v="22"/>
    <n v="344.19507426197526"/>
  </r>
  <r>
    <x v="0"/>
    <x v="23"/>
    <x v="23"/>
    <n v="330.43075754776271"/>
  </r>
  <r>
    <x v="0"/>
    <x v="24"/>
    <x v="24"/>
    <n v="320.628215178159"/>
  </r>
  <r>
    <x v="0"/>
    <x v="25"/>
    <x v="25"/>
    <n v="339.99597521947669"/>
  </r>
  <r>
    <x v="0"/>
    <x v="26"/>
    <x v="26"/>
    <n v="336.7935571106384"/>
  </r>
  <r>
    <x v="0"/>
    <x v="27"/>
    <x v="27"/>
    <n v="338.15095891969059"/>
  </r>
  <r>
    <x v="0"/>
    <x v="28"/>
    <x v="28"/>
    <n v="349.86495003805254"/>
  </r>
  <r>
    <x v="0"/>
    <x v="29"/>
    <x v="29"/>
    <n v="349.63506064331665"/>
  </r>
  <r>
    <x v="0"/>
    <x v="30"/>
    <x v="30"/>
    <n v="344.79406780754709"/>
  </r>
  <r>
    <x v="0"/>
    <x v="31"/>
    <x v="31"/>
    <n v="342.73149302214631"/>
  </r>
  <r>
    <x v="0"/>
    <x v="32"/>
    <x v="32"/>
    <n v="345.67783016686707"/>
  </r>
  <r>
    <x v="0"/>
    <x v="33"/>
    <x v="33"/>
    <n v="341.58313215117403"/>
  </r>
  <r>
    <x v="0"/>
    <x v="34"/>
    <x v="34"/>
    <n v="385.23092434292647"/>
  </r>
  <r>
    <x v="0"/>
    <x v="35"/>
    <x v="35"/>
    <n v="356.20492616341505"/>
  </r>
  <r>
    <x v="0"/>
    <x v="36"/>
    <x v="36"/>
    <n v="378.48165323061494"/>
  </r>
  <r>
    <x v="0"/>
    <x v="37"/>
    <x v="37"/>
    <n v="376.8287496367156"/>
  </r>
  <r>
    <x v="0"/>
    <x v="38"/>
    <x v="38"/>
    <n v="345.01586596180618"/>
  </r>
  <r>
    <x v="0"/>
    <x v="39"/>
    <x v="39"/>
    <n v="373.72168790187044"/>
  </r>
  <r>
    <x v="0"/>
    <x v="40"/>
    <x v="40"/>
    <n v="378.47411148257868"/>
  </r>
  <r>
    <x v="0"/>
    <x v="41"/>
    <x v="41"/>
    <n v="377.25139797359367"/>
  </r>
  <r>
    <x v="0"/>
    <x v="42"/>
    <x v="42"/>
    <n v="378.0539437701625"/>
  </r>
  <r>
    <x v="0"/>
    <x v="43"/>
    <x v="43"/>
    <n v="373.97146733058378"/>
  </r>
  <r>
    <x v="0"/>
    <x v="44"/>
    <x v="44"/>
    <n v="381.20027455784412"/>
  </r>
  <r>
    <x v="0"/>
    <x v="45"/>
    <x v="45"/>
    <n v="382.24018544447648"/>
  </r>
  <r>
    <x v="0"/>
    <x v="46"/>
    <x v="46"/>
    <n v="330.63830688633368"/>
  </r>
  <r>
    <x v="0"/>
    <x v="47"/>
    <x v="47"/>
    <n v="346.35788615321758"/>
  </r>
  <r>
    <x v="0"/>
    <x v="48"/>
    <x v="48"/>
    <n v="396.53429518342352"/>
  </r>
  <r>
    <x v="0"/>
    <x v="49"/>
    <x v="49"/>
    <n v="372.30167481823275"/>
  </r>
  <r>
    <x v="0"/>
    <x v="50"/>
    <x v="50"/>
    <n v="328.5615976459199"/>
  </r>
  <r>
    <x v="0"/>
    <x v="51"/>
    <x v="51"/>
    <n v="318.07617756645726"/>
  </r>
  <r>
    <x v="0"/>
    <x v="52"/>
    <x v="52"/>
    <n v="305.22987245838931"/>
  </r>
  <r>
    <x v="0"/>
    <x v="53"/>
    <x v="53"/>
    <n v="309.3814704128211"/>
  </r>
  <r>
    <x v="0"/>
    <x v="54"/>
    <x v="54"/>
    <n v="362.82763340332895"/>
  </r>
  <r>
    <x v="0"/>
    <x v="55"/>
    <x v="55"/>
    <n v="385.16142007236346"/>
  </r>
  <r>
    <x v="0"/>
    <x v="56"/>
    <x v="56"/>
    <n v="369.29812042033376"/>
  </r>
  <r>
    <x v="0"/>
    <x v="57"/>
    <x v="57"/>
    <n v="363.77626582015262"/>
  </r>
  <r>
    <x v="0"/>
    <x v="58"/>
    <x v="58"/>
    <n v="362.56281144800084"/>
  </r>
  <r>
    <x v="0"/>
    <x v="59"/>
    <x v="59"/>
    <n v="372.95266748549062"/>
  </r>
  <r>
    <x v="0"/>
    <x v="60"/>
    <x v="60"/>
    <n v="367.14851436566232"/>
  </r>
  <r>
    <x v="0"/>
    <x v="61"/>
    <x v="61"/>
    <n v="371.07777666633268"/>
  </r>
  <r>
    <x v="0"/>
    <x v="62"/>
    <x v="62"/>
    <n v="261.76339554020353"/>
  </r>
  <r>
    <x v="0"/>
    <x v="63"/>
    <x v="63"/>
    <n v="286.51753699464211"/>
  </r>
  <r>
    <x v="0"/>
    <x v="64"/>
    <x v="64"/>
    <n v="302.25850275833091"/>
  </r>
  <r>
    <x v="0"/>
    <x v="65"/>
    <x v="65"/>
    <n v="300.50675525800915"/>
  </r>
  <r>
    <x v="0"/>
    <x v="66"/>
    <x v="66"/>
    <n v="297.12529034845568"/>
  </r>
  <r>
    <x v="0"/>
    <x v="67"/>
    <x v="67"/>
    <n v="259.47595818250977"/>
  </r>
  <r>
    <x v="0"/>
    <x v="68"/>
    <x v="68"/>
    <n v="254.70796336133296"/>
  </r>
  <r>
    <x v="0"/>
    <x v="69"/>
    <x v="69"/>
    <n v="253.01283209425694"/>
  </r>
  <r>
    <x v="0"/>
    <x v="70"/>
    <x v="70"/>
    <n v="253.89064451150907"/>
  </r>
  <r>
    <x v="0"/>
    <x v="71"/>
    <x v="71"/>
    <n v="257.251899753967"/>
  </r>
  <r>
    <x v="0"/>
    <x v="72"/>
    <x v="72"/>
    <n v="253.54812463349458"/>
  </r>
  <r>
    <x v="0"/>
    <x v="73"/>
    <x v="73"/>
    <n v="244.47028429674936"/>
  </r>
  <r>
    <x v="0"/>
    <x v="74"/>
    <x v="74"/>
    <n v="256.67258129652299"/>
  </r>
  <r>
    <x v="0"/>
    <x v="75"/>
    <x v="75"/>
    <n v="279.15580340608983"/>
  </r>
  <r>
    <x v="0"/>
    <x v="76"/>
    <x v="76"/>
    <n v="277.92225351433905"/>
  </r>
  <r>
    <x v="0"/>
    <x v="77"/>
    <x v="77"/>
    <n v="277.05165231188761"/>
  </r>
  <r>
    <x v="0"/>
    <x v="78"/>
    <x v="78"/>
    <n v="311.12663223063396"/>
  </r>
  <r>
    <x v="0"/>
    <x v="79"/>
    <x v="79"/>
    <n v="300.36823981101963"/>
  </r>
  <r>
    <x v="0"/>
    <x v="80"/>
    <x v="80"/>
    <n v="275.15495066141267"/>
  </r>
  <r>
    <x v="0"/>
    <x v="81"/>
    <x v="81"/>
    <n v="282.21553679566881"/>
  </r>
  <r>
    <x v="0"/>
    <x v="82"/>
    <x v="82"/>
    <n v="272.73253672462113"/>
  </r>
  <r>
    <x v="0"/>
    <x v="83"/>
    <x v="83"/>
    <n v="295.50644762865784"/>
  </r>
  <r>
    <x v="0"/>
    <x v="84"/>
    <x v="84"/>
    <n v="303.79727523586041"/>
  </r>
  <r>
    <x v="0"/>
    <x v="85"/>
    <x v="85"/>
    <n v="288.66833154184428"/>
  </r>
  <r>
    <x v="0"/>
    <x v="86"/>
    <x v="86"/>
    <n v="298.95302076470585"/>
  </r>
  <r>
    <x v="0"/>
    <x v="87"/>
    <x v="87"/>
    <n v="300.12986794296074"/>
  </r>
  <r>
    <x v="0"/>
    <x v="88"/>
    <x v="88"/>
    <n v="307.37052809716886"/>
  </r>
  <r>
    <x v="0"/>
    <x v="89"/>
    <x v="89"/>
    <n v="306.59373400332152"/>
  </r>
  <r>
    <x v="0"/>
    <x v="90"/>
    <x v="90"/>
    <n v="295.02342793069022"/>
  </r>
  <r>
    <x v="0"/>
    <x v="91"/>
    <x v="91"/>
    <n v="278.25511469812693"/>
  </r>
  <r>
    <x v="0"/>
    <x v="92"/>
    <x v="92"/>
    <n v="267.37378270776685"/>
  </r>
  <r>
    <x v="0"/>
    <x v="93"/>
    <x v="93"/>
    <n v="269.08536662388968"/>
  </r>
  <r>
    <x v="0"/>
    <x v="94"/>
    <x v="94"/>
    <n v="352.11246008302362"/>
  </r>
  <r>
    <x v="1"/>
    <x v="0"/>
    <x v="0"/>
    <n v="232.71642418074956"/>
  </r>
  <r>
    <x v="1"/>
    <x v="1"/>
    <x v="1"/>
    <n v="303.68099069393941"/>
  </r>
  <r>
    <x v="1"/>
    <x v="2"/>
    <x v="2"/>
    <n v="290.70685721125744"/>
  </r>
  <r>
    <x v="1"/>
    <x v="3"/>
    <x v="3"/>
    <n v="291.35151752670492"/>
  </r>
  <r>
    <x v="1"/>
    <x v="95"/>
    <x v="95"/>
    <n v="220.19370564815728"/>
  </r>
  <r>
    <x v="1"/>
    <x v="96"/>
    <x v="96"/>
    <n v="261.44114423984803"/>
  </r>
  <r>
    <x v="1"/>
    <x v="4"/>
    <x v="4"/>
    <n v="262.10714258030873"/>
  </r>
  <r>
    <x v="1"/>
    <x v="97"/>
    <x v="97"/>
    <n v="284.73311341413518"/>
  </r>
  <r>
    <x v="1"/>
    <x v="5"/>
    <x v="5"/>
    <n v="277.36393404105115"/>
  </r>
  <r>
    <x v="1"/>
    <x v="6"/>
    <x v="6"/>
    <n v="345.63747822771984"/>
  </r>
  <r>
    <x v="1"/>
    <x v="7"/>
    <x v="7"/>
    <n v="334.88741573837103"/>
  </r>
  <r>
    <x v="1"/>
    <x v="8"/>
    <x v="8"/>
    <n v="335.92809532984398"/>
  </r>
  <r>
    <x v="1"/>
    <x v="98"/>
    <x v="98"/>
    <n v="340.99882867054663"/>
  </r>
  <r>
    <x v="1"/>
    <x v="99"/>
    <x v="99"/>
    <n v="334.22650570806508"/>
  </r>
  <r>
    <x v="1"/>
    <x v="100"/>
    <x v="100"/>
    <n v="333.11060717985038"/>
  </r>
  <r>
    <x v="1"/>
    <x v="101"/>
    <x v="101"/>
    <n v="342.64677753398979"/>
  </r>
  <r>
    <x v="1"/>
    <x v="9"/>
    <x v="9"/>
    <n v="331.53420692040731"/>
  </r>
  <r>
    <x v="1"/>
    <x v="10"/>
    <x v="10"/>
    <n v="344.88562469684013"/>
  </r>
  <r>
    <x v="1"/>
    <x v="11"/>
    <x v="11"/>
    <n v="322.50880531107464"/>
  </r>
  <r>
    <x v="1"/>
    <x v="12"/>
    <x v="12"/>
    <n v="322.37366593976776"/>
  </r>
  <r>
    <x v="1"/>
    <x v="13"/>
    <x v="13"/>
    <n v="322.17975585895067"/>
  </r>
  <r>
    <x v="1"/>
    <x v="14"/>
    <x v="14"/>
    <n v="313.89273573355553"/>
  </r>
  <r>
    <x v="1"/>
    <x v="15"/>
    <x v="15"/>
    <n v="348.76075013738176"/>
  </r>
  <r>
    <x v="1"/>
    <x v="16"/>
    <x v="16"/>
    <n v="329.40712761090441"/>
  </r>
  <r>
    <x v="1"/>
    <x v="17"/>
    <x v="17"/>
    <n v="327.29589538990541"/>
  </r>
  <r>
    <x v="1"/>
    <x v="18"/>
    <x v="18"/>
    <n v="330.12175558587364"/>
  </r>
  <r>
    <x v="1"/>
    <x v="19"/>
    <x v="19"/>
    <n v="328.91032162412034"/>
  </r>
  <r>
    <x v="1"/>
    <x v="20"/>
    <x v="20"/>
    <n v="324.56831296890186"/>
  </r>
  <r>
    <x v="1"/>
    <x v="21"/>
    <x v="21"/>
    <n v="325.23702339468053"/>
  </r>
  <r>
    <x v="1"/>
    <x v="22"/>
    <x v="22"/>
    <n v="338.82898521414387"/>
  </r>
  <r>
    <x v="1"/>
    <x v="23"/>
    <x v="23"/>
    <n v="326.35660375753736"/>
  </r>
  <r>
    <x v="1"/>
    <x v="24"/>
    <x v="24"/>
    <n v="333.53553115762895"/>
  </r>
  <r>
    <x v="1"/>
    <x v="25"/>
    <x v="25"/>
    <n v="332.33156633937045"/>
  </r>
  <r>
    <x v="1"/>
    <x v="26"/>
    <x v="26"/>
    <n v="328.22234972283059"/>
  </r>
  <r>
    <x v="1"/>
    <x v="27"/>
    <x v="27"/>
    <n v="326.823985755443"/>
  </r>
  <r>
    <x v="1"/>
    <x v="28"/>
    <x v="28"/>
    <n v="336.44039849245968"/>
  </r>
  <r>
    <x v="1"/>
    <x v="29"/>
    <x v="29"/>
    <n v="334.61819003066745"/>
  </r>
  <r>
    <x v="1"/>
    <x v="30"/>
    <x v="30"/>
    <n v="329.87224021709051"/>
  </r>
  <r>
    <x v="1"/>
    <x v="31"/>
    <x v="31"/>
    <n v="330.55963503585582"/>
  </r>
  <r>
    <x v="1"/>
    <x v="32"/>
    <x v="32"/>
    <n v="333.78767229786047"/>
  </r>
  <r>
    <x v="1"/>
    <x v="33"/>
    <x v="33"/>
    <n v="331.60905319151607"/>
  </r>
  <r>
    <x v="1"/>
    <x v="34"/>
    <x v="34"/>
    <n v="430.40595118666266"/>
  </r>
  <r>
    <x v="1"/>
    <x v="102"/>
    <x v="102"/>
    <n v="428.73935919932217"/>
  </r>
  <r>
    <x v="1"/>
    <x v="103"/>
    <x v="103"/>
    <n v="435.97460077119001"/>
  </r>
  <r>
    <x v="1"/>
    <x v="104"/>
    <x v="104"/>
    <n v="435.68445740394884"/>
  </r>
  <r>
    <x v="1"/>
    <x v="105"/>
    <x v="105"/>
    <n v="436.9535299374889"/>
  </r>
  <r>
    <x v="1"/>
    <x v="106"/>
    <x v="106"/>
    <n v="412.54832969773804"/>
  </r>
  <r>
    <x v="1"/>
    <x v="107"/>
    <x v="107"/>
    <n v="423.67391421206855"/>
  </r>
  <r>
    <x v="1"/>
    <x v="108"/>
    <x v="108"/>
    <n v="431.41436763684146"/>
  </r>
  <r>
    <x v="1"/>
    <x v="35"/>
    <x v="35"/>
    <n v="442.05782434054157"/>
  </r>
  <r>
    <x v="1"/>
    <x v="36"/>
    <x v="36"/>
    <n v="406.01721027985155"/>
  </r>
  <r>
    <x v="1"/>
    <x v="37"/>
    <x v="37"/>
    <n v="429.57453388207648"/>
  </r>
  <r>
    <x v="1"/>
    <x v="38"/>
    <x v="38"/>
    <n v="421.22512078660094"/>
  </r>
  <r>
    <x v="1"/>
    <x v="40"/>
    <x v="40"/>
    <n v="403.67086151432255"/>
  </r>
  <r>
    <x v="1"/>
    <x v="41"/>
    <x v="41"/>
    <n v="406.47212561610115"/>
  </r>
  <r>
    <x v="1"/>
    <x v="42"/>
    <x v="42"/>
    <n v="408.30336552197667"/>
  </r>
  <r>
    <x v="1"/>
    <x v="43"/>
    <x v="43"/>
    <n v="396.49210329166715"/>
  </r>
  <r>
    <x v="1"/>
    <x v="44"/>
    <x v="44"/>
    <n v="403.22061105383688"/>
  </r>
  <r>
    <x v="1"/>
    <x v="45"/>
    <x v="45"/>
    <n v="404.02724952907545"/>
  </r>
  <r>
    <x v="1"/>
    <x v="109"/>
    <x v="109"/>
    <n v="434.32222357186555"/>
  </r>
  <r>
    <x v="1"/>
    <x v="110"/>
    <x v="110"/>
    <n v="410.37903458441417"/>
  </r>
  <r>
    <x v="1"/>
    <x v="111"/>
    <x v="111"/>
    <n v="402.10946629384603"/>
  </r>
  <r>
    <x v="1"/>
    <x v="112"/>
    <x v="112"/>
    <n v="386.6238806494859"/>
  </r>
  <r>
    <x v="1"/>
    <x v="46"/>
    <x v="46"/>
    <n v="369.38593342085471"/>
  </r>
  <r>
    <x v="1"/>
    <x v="47"/>
    <x v="47"/>
    <n v="368.97553831893333"/>
  </r>
  <r>
    <x v="1"/>
    <x v="113"/>
    <x v="113"/>
    <n v="434.08119869526899"/>
  </r>
  <r>
    <x v="1"/>
    <x v="114"/>
    <x v="114"/>
    <n v="438.19081735079328"/>
  </r>
  <r>
    <x v="1"/>
    <x v="115"/>
    <x v="115"/>
    <n v="375.79127711364657"/>
  </r>
  <r>
    <x v="1"/>
    <x v="116"/>
    <x v="116"/>
    <n v="395.57411929165784"/>
  </r>
  <r>
    <x v="1"/>
    <x v="117"/>
    <x v="117"/>
    <n v="386.66135922663881"/>
  </r>
  <r>
    <x v="1"/>
    <x v="118"/>
    <x v="118"/>
    <n v="374.07936748586951"/>
  </r>
  <r>
    <x v="1"/>
    <x v="119"/>
    <x v="119"/>
    <n v="377.71247273845898"/>
  </r>
  <r>
    <x v="1"/>
    <x v="120"/>
    <x v="120"/>
    <n v="361.18607057782236"/>
  </r>
  <r>
    <x v="1"/>
    <x v="121"/>
    <x v="121"/>
    <n v="367.52629616083317"/>
  </r>
  <r>
    <x v="1"/>
    <x v="48"/>
    <x v="48"/>
    <n v="388.16645573769642"/>
  </r>
  <r>
    <x v="1"/>
    <x v="49"/>
    <x v="49"/>
    <n v="367.41682178558881"/>
  </r>
  <r>
    <x v="1"/>
    <x v="50"/>
    <x v="50"/>
    <n v="371.10163943540368"/>
  </r>
  <r>
    <x v="1"/>
    <x v="51"/>
    <x v="51"/>
    <n v="370.82368243608624"/>
  </r>
  <r>
    <x v="1"/>
    <x v="52"/>
    <x v="52"/>
    <n v="365.77318494941181"/>
  </r>
  <r>
    <x v="1"/>
    <x v="53"/>
    <x v="53"/>
    <n v="353.31984923819743"/>
  </r>
  <r>
    <x v="1"/>
    <x v="122"/>
    <x v="122"/>
    <n v="354.08819214409158"/>
  </r>
  <r>
    <x v="1"/>
    <x v="54"/>
    <x v="54"/>
    <n v="356.01050382957817"/>
  </r>
  <r>
    <x v="1"/>
    <x v="55"/>
    <x v="55"/>
    <n v="350.62723273262213"/>
  </r>
  <r>
    <x v="1"/>
    <x v="56"/>
    <x v="56"/>
    <n v="339.97124142617463"/>
  </r>
  <r>
    <x v="1"/>
    <x v="57"/>
    <x v="57"/>
    <n v="332.32006516395415"/>
  </r>
  <r>
    <x v="1"/>
    <x v="123"/>
    <x v="123"/>
    <n v="363.2047081353312"/>
  </r>
  <r>
    <x v="1"/>
    <x v="124"/>
    <x v="124"/>
    <n v="394.69702198503609"/>
  </r>
  <r>
    <x v="1"/>
    <x v="58"/>
    <x v="58"/>
    <n v="379.89895762649155"/>
  </r>
  <r>
    <x v="1"/>
    <x v="59"/>
    <x v="59"/>
    <n v="370.37753586653486"/>
  </r>
  <r>
    <x v="1"/>
    <x v="60"/>
    <x v="60"/>
    <n v="361.78466225048169"/>
  </r>
  <r>
    <x v="1"/>
    <x v="61"/>
    <x v="61"/>
    <n v="349.63443621248291"/>
  </r>
  <r>
    <x v="1"/>
    <x v="125"/>
    <x v="125"/>
    <n v="297.19657160463834"/>
  </r>
  <r>
    <x v="1"/>
    <x v="126"/>
    <x v="126"/>
    <n v="317.16018846038185"/>
  </r>
  <r>
    <x v="1"/>
    <x v="127"/>
    <x v="127"/>
    <n v="318.57896432804529"/>
  </r>
  <r>
    <x v="1"/>
    <x v="62"/>
    <x v="62"/>
    <n v="258.62550153057168"/>
  </r>
  <r>
    <x v="1"/>
    <x v="128"/>
    <x v="128"/>
    <n v="246.40619099113246"/>
  </r>
  <r>
    <x v="1"/>
    <x v="63"/>
    <x v="63"/>
    <n v="252.3434812188151"/>
  </r>
  <r>
    <x v="1"/>
    <x v="129"/>
    <x v="129"/>
    <n v="357.23719409771638"/>
  </r>
  <r>
    <x v="1"/>
    <x v="64"/>
    <x v="64"/>
    <n v="361.77044526082153"/>
  </r>
  <r>
    <x v="1"/>
    <x v="65"/>
    <x v="65"/>
    <n v="359.35120657902809"/>
  </r>
  <r>
    <x v="1"/>
    <x v="66"/>
    <x v="66"/>
    <n v="360.45241234903119"/>
  </r>
  <r>
    <x v="1"/>
    <x v="67"/>
    <x v="67"/>
    <n v="297.60356152038361"/>
  </r>
  <r>
    <x v="1"/>
    <x v="68"/>
    <x v="68"/>
    <n v="290.26836467924983"/>
  </r>
  <r>
    <x v="1"/>
    <x v="69"/>
    <x v="69"/>
    <n v="289.12997014231621"/>
  </r>
  <r>
    <x v="1"/>
    <x v="70"/>
    <x v="70"/>
    <n v="288.40244538040145"/>
  </r>
  <r>
    <x v="1"/>
    <x v="71"/>
    <x v="71"/>
    <n v="281.52899427830317"/>
  </r>
  <r>
    <x v="1"/>
    <x v="72"/>
    <x v="72"/>
    <n v="272.55119831873185"/>
  </r>
  <r>
    <x v="1"/>
    <x v="73"/>
    <x v="73"/>
    <n v="278.76039475011214"/>
  </r>
  <r>
    <x v="1"/>
    <x v="74"/>
    <x v="74"/>
    <n v="285.26112329740124"/>
  </r>
  <r>
    <x v="1"/>
    <x v="75"/>
    <x v="75"/>
    <n v="313.60762440468858"/>
  </r>
  <r>
    <x v="1"/>
    <x v="76"/>
    <x v="76"/>
    <n v="314.20918652092149"/>
  </r>
  <r>
    <x v="1"/>
    <x v="77"/>
    <x v="77"/>
    <n v="313.10759791039465"/>
  </r>
  <r>
    <x v="1"/>
    <x v="130"/>
    <x v="130"/>
    <n v="297.58374321047211"/>
  </r>
  <r>
    <x v="1"/>
    <x v="78"/>
    <x v="78"/>
    <n v="369.55068401657627"/>
  </r>
  <r>
    <x v="1"/>
    <x v="79"/>
    <x v="79"/>
    <n v="356.48890486883835"/>
  </r>
  <r>
    <x v="1"/>
    <x v="80"/>
    <x v="80"/>
    <n v="375.89721283144291"/>
  </r>
  <r>
    <x v="1"/>
    <x v="81"/>
    <x v="81"/>
    <n v="374.90592511918442"/>
  </r>
  <r>
    <x v="1"/>
    <x v="82"/>
    <x v="82"/>
    <n v="378.08854563589057"/>
  </r>
  <r>
    <x v="1"/>
    <x v="83"/>
    <x v="83"/>
    <n v="371.47246420595758"/>
  </r>
  <r>
    <x v="1"/>
    <x v="84"/>
    <x v="84"/>
    <n v="368.7102539770824"/>
  </r>
  <r>
    <x v="1"/>
    <x v="85"/>
    <x v="85"/>
    <n v="369.72551875915957"/>
  </r>
  <r>
    <x v="1"/>
    <x v="86"/>
    <x v="86"/>
    <n v="364.14871129111179"/>
  </r>
  <r>
    <x v="1"/>
    <x v="87"/>
    <x v="87"/>
    <n v="372.94395255350997"/>
  </r>
  <r>
    <x v="1"/>
    <x v="88"/>
    <x v="88"/>
    <n v="376.41094728690251"/>
  </r>
  <r>
    <x v="1"/>
    <x v="89"/>
    <x v="89"/>
    <n v="369.02896406903193"/>
  </r>
  <r>
    <x v="1"/>
    <x v="90"/>
    <x v="90"/>
    <n v="381.34341839341732"/>
  </r>
  <r>
    <x v="1"/>
    <x v="91"/>
    <x v="91"/>
    <n v="385.7135953651516"/>
  </r>
  <r>
    <x v="1"/>
    <x v="92"/>
    <x v="92"/>
    <n v="254.73063830270527"/>
  </r>
  <r>
    <x v="1"/>
    <x v="93"/>
    <x v="93"/>
    <n v="252.82643713935542"/>
  </r>
  <r>
    <x v="1"/>
    <x v="94"/>
    <x v="94"/>
    <n v="434.54037966336909"/>
  </r>
  <r>
    <x v="2"/>
    <x v="0"/>
    <x v="0"/>
    <n v="182.48870967683118"/>
  </r>
  <r>
    <x v="2"/>
    <x v="1"/>
    <x v="1"/>
    <n v="179.07680474826896"/>
  </r>
  <r>
    <x v="2"/>
    <x v="2"/>
    <x v="2"/>
    <n v="182.93008833770133"/>
  </r>
  <r>
    <x v="2"/>
    <x v="3"/>
    <x v="3"/>
    <n v="208.9530085772362"/>
  </r>
  <r>
    <x v="2"/>
    <x v="95"/>
    <x v="95"/>
    <n v="179.56721190718383"/>
  </r>
  <r>
    <x v="2"/>
    <x v="131"/>
    <x v="131"/>
    <n v="196.62578707702912"/>
  </r>
  <r>
    <x v="2"/>
    <x v="6"/>
    <x v="6"/>
    <n v="254.85073786715813"/>
  </r>
  <r>
    <x v="2"/>
    <x v="7"/>
    <x v="7"/>
    <n v="200.7353138448145"/>
  </r>
  <r>
    <x v="2"/>
    <x v="8"/>
    <x v="8"/>
    <n v="198.78138292295978"/>
  </r>
  <r>
    <x v="2"/>
    <x v="9"/>
    <x v="9"/>
    <n v="218.72703843614295"/>
  </r>
  <r>
    <x v="2"/>
    <x v="10"/>
    <x v="10"/>
    <n v="216.10759060254932"/>
  </r>
  <r>
    <x v="2"/>
    <x v="12"/>
    <x v="12"/>
    <n v="202.91859773397724"/>
  </r>
  <r>
    <x v="2"/>
    <x v="13"/>
    <x v="13"/>
    <n v="207.89849000685075"/>
  </r>
  <r>
    <x v="2"/>
    <x v="15"/>
    <x v="15"/>
    <n v="233.85886255654887"/>
  </r>
  <r>
    <x v="2"/>
    <x v="18"/>
    <x v="18"/>
    <n v="191.05478154254328"/>
  </r>
  <r>
    <x v="2"/>
    <x v="19"/>
    <x v="19"/>
    <n v="185.24535576175549"/>
  </r>
  <r>
    <x v="2"/>
    <x v="20"/>
    <x v="20"/>
    <n v="179.80819809198368"/>
  </r>
  <r>
    <x v="2"/>
    <x v="21"/>
    <x v="21"/>
    <n v="186.23391619622291"/>
  </r>
  <r>
    <x v="2"/>
    <x v="22"/>
    <x v="22"/>
    <n v="216.2845122211142"/>
  </r>
  <r>
    <x v="2"/>
    <x v="23"/>
    <x v="23"/>
    <n v="215.85154160895584"/>
  </r>
  <r>
    <x v="2"/>
    <x v="24"/>
    <x v="24"/>
    <n v="209.33095184263999"/>
  </r>
  <r>
    <x v="2"/>
    <x v="25"/>
    <x v="25"/>
    <n v="202.97746533509175"/>
  </r>
  <r>
    <x v="2"/>
    <x v="26"/>
    <x v="26"/>
    <n v="193.98259018395899"/>
  </r>
  <r>
    <x v="2"/>
    <x v="27"/>
    <x v="27"/>
    <n v="196.56632758422785"/>
  </r>
  <r>
    <x v="2"/>
    <x v="28"/>
    <x v="28"/>
    <n v="214.85257679209403"/>
  </r>
  <r>
    <x v="2"/>
    <x v="29"/>
    <x v="29"/>
    <n v="208.76445515772286"/>
  </r>
  <r>
    <x v="2"/>
    <x v="30"/>
    <x v="30"/>
    <n v="204.02018690356792"/>
  </r>
  <r>
    <x v="2"/>
    <x v="31"/>
    <x v="31"/>
    <n v="202.14760582221436"/>
  </r>
  <r>
    <x v="2"/>
    <x v="32"/>
    <x v="32"/>
    <n v="206.92093293898009"/>
  </r>
  <r>
    <x v="2"/>
    <x v="33"/>
    <x v="33"/>
    <n v="205.5384101736914"/>
  </r>
  <r>
    <x v="2"/>
    <x v="34"/>
    <x v="34"/>
    <n v="265.535634316916"/>
  </r>
  <r>
    <x v="2"/>
    <x v="102"/>
    <x v="102"/>
    <n v="269.37125199986747"/>
  </r>
  <r>
    <x v="2"/>
    <x v="105"/>
    <x v="105"/>
    <n v="236.0134555971066"/>
  </r>
  <r>
    <x v="2"/>
    <x v="106"/>
    <x v="106"/>
    <n v="248.53094252046972"/>
  </r>
  <r>
    <x v="2"/>
    <x v="35"/>
    <x v="35"/>
    <n v="253.91314703982096"/>
  </r>
  <r>
    <x v="2"/>
    <x v="36"/>
    <x v="36"/>
    <n v="275.21057591782954"/>
  </r>
  <r>
    <x v="2"/>
    <x v="37"/>
    <x v="37"/>
    <n v="286.28063709269003"/>
  </r>
  <r>
    <x v="2"/>
    <x v="38"/>
    <x v="38"/>
    <n v="275.34362428400556"/>
  </r>
  <r>
    <x v="2"/>
    <x v="40"/>
    <x v="40"/>
    <n v="253.30948227578213"/>
  </r>
  <r>
    <x v="2"/>
    <x v="41"/>
    <x v="41"/>
    <n v="252.93969026409118"/>
  </r>
  <r>
    <x v="2"/>
    <x v="42"/>
    <x v="42"/>
    <n v="254.10061678468435"/>
  </r>
  <r>
    <x v="2"/>
    <x v="43"/>
    <x v="43"/>
    <n v="255.60551816236514"/>
  </r>
  <r>
    <x v="2"/>
    <x v="44"/>
    <x v="44"/>
    <n v="268.05994118924264"/>
  </r>
  <r>
    <x v="2"/>
    <x v="45"/>
    <x v="45"/>
    <n v="273.36109499504391"/>
  </r>
  <r>
    <x v="2"/>
    <x v="64"/>
    <x v="64"/>
    <n v="185.40232692376279"/>
  </r>
  <r>
    <x v="2"/>
    <x v="65"/>
    <x v="65"/>
    <n v="187.51482053989881"/>
  </r>
  <r>
    <x v="2"/>
    <x v="66"/>
    <x v="66"/>
    <n v="183.05267472943231"/>
  </r>
  <r>
    <x v="2"/>
    <x v="67"/>
    <x v="67"/>
    <n v="152.54688508042318"/>
  </r>
  <r>
    <x v="2"/>
    <x v="68"/>
    <x v="68"/>
    <n v="150.18747052368661"/>
  </r>
  <r>
    <x v="2"/>
    <x v="69"/>
    <x v="69"/>
    <n v="151.08835580092421"/>
  </r>
  <r>
    <x v="2"/>
    <x v="70"/>
    <x v="70"/>
    <n v="148.17513729074153"/>
  </r>
  <r>
    <x v="2"/>
    <x v="71"/>
    <x v="71"/>
    <n v="145.74766281194792"/>
  </r>
  <r>
    <x v="2"/>
    <x v="72"/>
    <x v="72"/>
    <n v="144.24829165638559"/>
  </r>
  <r>
    <x v="2"/>
    <x v="73"/>
    <x v="73"/>
    <n v="144.34998607840393"/>
  </r>
  <r>
    <x v="2"/>
    <x v="74"/>
    <x v="74"/>
    <n v="145.13208056614286"/>
  </r>
  <r>
    <x v="2"/>
    <x v="75"/>
    <x v="75"/>
    <n v="194.05042915716263"/>
  </r>
  <r>
    <x v="2"/>
    <x v="76"/>
    <x v="76"/>
    <n v="194.94122855348701"/>
  </r>
  <r>
    <x v="2"/>
    <x v="77"/>
    <x v="77"/>
    <n v="193.9191250791805"/>
  </r>
  <r>
    <x v="2"/>
    <x v="132"/>
    <x v="132"/>
    <n v="172.37190994233652"/>
  </r>
  <r>
    <x v="2"/>
    <x v="133"/>
    <x v="133"/>
    <n v="196.34186661271383"/>
  </r>
  <r>
    <x v="2"/>
    <x v="78"/>
    <x v="78"/>
    <n v="220.77925116727937"/>
  </r>
  <r>
    <x v="2"/>
    <x v="79"/>
    <x v="79"/>
    <n v="214.05777617717288"/>
  </r>
  <r>
    <x v="2"/>
    <x v="80"/>
    <x v="80"/>
    <n v="212.57133951748173"/>
  </r>
  <r>
    <x v="2"/>
    <x v="81"/>
    <x v="81"/>
    <n v="211.72628971285363"/>
  </r>
  <r>
    <x v="2"/>
    <x v="82"/>
    <x v="82"/>
    <n v="186.45273393761076"/>
  </r>
  <r>
    <x v="2"/>
    <x v="83"/>
    <x v="83"/>
    <n v="185.55708712066615"/>
  </r>
  <r>
    <x v="2"/>
    <x v="84"/>
    <x v="84"/>
    <n v="215.15215535060258"/>
  </r>
  <r>
    <x v="2"/>
    <x v="85"/>
    <x v="85"/>
    <n v="194.91404310176185"/>
  </r>
  <r>
    <x v="2"/>
    <x v="86"/>
    <x v="86"/>
    <n v="206.71900576013999"/>
  </r>
  <r>
    <x v="2"/>
    <x v="87"/>
    <x v="87"/>
    <n v="216.40721793993518"/>
  </r>
  <r>
    <x v="2"/>
    <x v="88"/>
    <x v="88"/>
    <n v="217.55629287528632"/>
  </r>
  <r>
    <x v="2"/>
    <x v="89"/>
    <x v="89"/>
    <n v="174.5395099770958"/>
  </r>
  <r>
    <x v="2"/>
    <x v="90"/>
    <x v="90"/>
    <n v="160.78032730544317"/>
  </r>
  <r>
    <x v="2"/>
    <x v="91"/>
    <x v="91"/>
    <n v="122.78669762651063"/>
  </r>
  <r>
    <x v="2"/>
    <x v="92"/>
    <x v="92"/>
    <n v="213.88515675685446"/>
  </r>
  <r>
    <x v="2"/>
    <x v="93"/>
    <x v="93"/>
    <n v="214.47477543049163"/>
  </r>
  <r>
    <x v="2"/>
    <x v="94"/>
    <x v="94"/>
    <n v="268.50728090693366"/>
  </r>
  <r>
    <x v="3"/>
    <x v="0"/>
    <x v="0"/>
    <n v="286.57322380534544"/>
  </r>
  <r>
    <x v="3"/>
    <x v="6"/>
    <x v="6"/>
    <n v="331.54912351445961"/>
  </r>
  <r>
    <x v="3"/>
    <x v="7"/>
    <x v="7"/>
    <n v="303.05222591665665"/>
  </r>
  <r>
    <x v="3"/>
    <x v="8"/>
    <x v="8"/>
    <n v="294.75707877931961"/>
  </r>
  <r>
    <x v="3"/>
    <x v="9"/>
    <x v="9"/>
    <n v="326.07128995914445"/>
  </r>
  <r>
    <x v="3"/>
    <x v="10"/>
    <x v="10"/>
    <n v="330.36943778179824"/>
  </r>
  <r>
    <x v="3"/>
    <x v="12"/>
    <x v="12"/>
    <n v="329.18737187030962"/>
  </r>
  <r>
    <x v="3"/>
    <x v="13"/>
    <x v="13"/>
    <n v="330.52079291823242"/>
  </r>
  <r>
    <x v="3"/>
    <x v="15"/>
    <x v="15"/>
    <n v="363.71067923854275"/>
  </r>
  <r>
    <x v="3"/>
    <x v="16"/>
    <x v="16"/>
    <n v="333.73395855531697"/>
  </r>
  <r>
    <x v="3"/>
    <x v="17"/>
    <x v="17"/>
    <n v="334.74395213708368"/>
  </r>
  <r>
    <x v="3"/>
    <x v="18"/>
    <x v="18"/>
    <n v="339.43941674482124"/>
  </r>
  <r>
    <x v="3"/>
    <x v="19"/>
    <x v="19"/>
    <n v="337.1318985383283"/>
  </r>
  <r>
    <x v="3"/>
    <x v="20"/>
    <x v="20"/>
    <n v="337.32473951650508"/>
  </r>
  <r>
    <x v="3"/>
    <x v="21"/>
    <x v="21"/>
    <n v="340.13071753871668"/>
  </r>
  <r>
    <x v="3"/>
    <x v="22"/>
    <x v="22"/>
    <n v="353.91099212886115"/>
  </r>
  <r>
    <x v="3"/>
    <x v="23"/>
    <x v="23"/>
    <n v="322.8341499697728"/>
  </r>
  <r>
    <x v="3"/>
    <x v="24"/>
    <x v="24"/>
    <n v="333.33949932346832"/>
  </r>
  <r>
    <x v="3"/>
    <x v="25"/>
    <x v="25"/>
    <n v="344.94476087659973"/>
  </r>
  <r>
    <x v="3"/>
    <x v="26"/>
    <x v="26"/>
    <n v="343.65599700772162"/>
  </r>
  <r>
    <x v="3"/>
    <x v="27"/>
    <x v="27"/>
    <n v="342.07672352519836"/>
  </r>
  <r>
    <x v="3"/>
    <x v="28"/>
    <x v="28"/>
    <n v="351.43271500274761"/>
  </r>
  <r>
    <x v="3"/>
    <x v="29"/>
    <x v="29"/>
    <n v="348.21796106118637"/>
  </r>
  <r>
    <x v="3"/>
    <x v="30"/>
    <x v="30"/>
    <n v="343.83586471507766"/>
  </r>
  <r>
    <x v="3"/>
    <x v="31"/>
    <x v="31"/>
    <n v="345.79747300962003"/>
  </r>
  <r>
    <x v="3"/>
    <x v="32"/>
    <x v="32"/>
    <n v="351.54471157181342"/>
  </r>
  <r>
    <x v="3"/>
    <x v="33"/>
    <x v="33"/>
    <n v="344.50480056396134"/>
  </r>
  <r>
    <x v="3"/>
    <x v="34"/>
    <x v="34"/>
    <n v="542.67656693957974"/>
  </r>
  <r>
    <x v="3"/>
    <x v="102"/>
    <x v="102"/>
    <n v="515.92798616092637"/>
  </r>
  <r>
    <x v="3"/>
    <x v="103"/>
    <x v="103"/>
    <n v="525.101338690803"/>
  </r>
  <r>
    <x v="3"/>
    <x v="104"/>
    <x v="104"/>
    <n v="553.9629198707554"/>
  </r>
  <r>
    <x v="3"/>
    <x v="105"/>
    <x v="105"/>
    <n v="536.81967972940186"/>
  </r>
  <r>
    <x v="3"/>
    <x v="108"/>
    <x v="108"/>
    <n v="508.54724321530864"/>
  </r>
  <r>
    <x v="3"/>
    <x v="35"/>
    <x v="35"/>
    <n v="509.49838741972155"/>
  </r>
  <r>
    <x v="3"/>
    <x v="36"/>
    <x v="36"/>
    <n v="476.43172203308876"/>
  </r>
  <r>
    <x v="3"/>
    <x v="37"/>
    <x v="37"/>
    <n v="508.2780780145244"/>
  </r>
  <r>
    <x v="3"/>
    <x v="38"/>
    <x v="38"/>
    <n v="493.55430373669515"/>
  </r>
  <r>
    <x v="3"/>
    <x v="40"/>
    <x v="40"/>
    <n v="499.55576685090682"/>
  </r>
  <r>
    <x v="3"/>
    <x v="41"/>
    <x v="41"/>
    <n v="508.69155395705207"/>
  </r>
  <r>
    <x v="3"/>
    <x v="42"/>
    <x v="42"/>
    <n v="502.47000413651807"/>
  </r>
  <r>
    <x v="3"/>
    <x v="43"/>
    <x v="43"/>
    <n v="502.17651621437392"/>
  </r>
  <r>
    <x v="3"/>
    <x v="44"/>
    <x v="44"/>
    <n v="510.95261816666914"/>
  </r>
  <r>
    <x v="3"/>
    <x v="45"/>
    <x v="45"/>
    <n v="502.79133084843875"/>
  </r>
  <r>
    <x v="3"/>
    <x v="110"/>
    <x v="110"/>
    <n v="466.42418329123035"/>
  </r>
  <r>
    <x v="3"/>
    <x v="111"/>
    <x v="111"/>
    <n v="442.37819079847804"/>
  </r>
  <r>
    <x v="3"/>
    <x v="112"/>
    <x v="112"/>
    <n v="447.28915783651667"/>
  </r>
  <r>
    <x v="3"/>
    <x v="46"/>
    <x v="46"/>
    <n v="458.00184477098139"/>
  </r>
  <r>
    <x v="3"/>
    <x v="47"/>
    <x v="47"/>
    <n v="443.57761621691191"/>
  </r>
  <r>
    <x v="3"/>
    <x v="56"/>
    <x v="56"/>
    <n v="324.96901116481547"/>
  </r>
  <r>
    <x v="3"/>
    <x v="57"/>
    <x v="57"/>
    <n v="326.80690874499322"/>
  </r>
  <r>
    <x v="3"/>
    <x v="61"/>
    <x v="61"/>
    <n v="323.11541420267804"/>
  </r>
  <r>
    <x v="3"/>
    <x v="64"/>
    <x v="64"/>
    <n v="406.37243854636489"/>
  </r>
  <r>
    <x v="3"/>
    <x v="65"/>
    <x v="65"/>
    <n v="401.87359771603997"/>
  </r>
  <r>
    <x v="3"/>
    <x v="66"/>
    <x v="66"/>
    <n v="395.76666515519952"/>
  </r>
  <r>
    <x v="3"/>
    <x v="67"/>
    <x v="67"/>
    <n v="286.96304675614778"/>
  </r>
  <r>
    <x v="3"/>
    <x v="68"/>
    <x v="68"/>
    <n v="280.55236501671197"/>
  </r>
  <r>
    <x v="3"/>
    <x v="69"/>
    <x v="69"/>
    <n v="291.35395992073433"/>
  </r>
  <r>
    <x v="3"/>
    <x v="70"/>
    <x v="70"/>
    <n v="290.13361695376739"/>
  </r>
  <r>
    <x v="3"/>
    <x v="71"/>
    <x v="71"/>
    <n v="281.73722870119366"/>
  </r>
  <r>
    <x v="3"/>
    <x v="72"/>
    <x v="72"/>
    <n v="277.99508701373895"/>
  </r>
  <r>
    <x v="3"/>
    <x v="73"/>
    <x v="73"/>
    <n v="268.91922063193874"/>
  </r>
  <r>
    <x v="3"/>
    <x v="74"/>
    <x v="74"/>
    <n v="281.39958407729762"/>
  </r>
  <r>
    <x v="3"/>
    <x v="75"/>
    <x v="75"/>
    <n v="314.32342243201242"/>
  </r>
  <r>
    <x v="3"/>
    <x v="76"/>
    <x v="76"/>
    <n v="314.25220161748422"/>
  </r>
  <r>
    <x v="3"/>
    <x v="77"/>
    <x v="77"/>
    <n v="306.42158359214977"/>
  </r>
  <r>
    <x v="3"/>
    <x v="78"/>
    <x v="78"/>
    <n v="392.64817944302757"/>
  </r>
  <r>
    <x v="3"/>
    <x v="80"/>
    <x v="80"/>
    <n v="401.24458404771769"/>
  </r>
  <r>
    <x v="3"/>
    <x v="81"/>
    <x v="81"/>
    <n v="397.81874835281127"/>
  </r>
  <r>
    <x v="3"/>
    <x v="82"/>
    <x v="82"/>
    <n v="385.31000920260823"/>
  </r>
  <r>
    <x v="3"/>
    <x v="83"/>
    <x v="83"/>
    <n v="385.01682100480326"/>
  </r>
  <r>
    <x v="3"/>
    <x v="84"/>
    <x v="84"/>
    <n v="349.16205391245353"/>
  </r>
  <r>
    <x v="3"/>
    <x v="85"/>
    <x v="85"/>
    <n v="354.41969689992544"/>
  </r>
  <r>
    <x v="3"/>
    <x v="86"/>
    <x v="86"/>
    <n v="371.50949830397457"/>
  </r>
  <r>
    <x v="3"/>
    <x v="88"/>
    <x v="88"/>
    <n v="353.40911223610289"/>
  </r>
  <r>
    <x v="3"/>
    <x v="89"/>
    <x v="89"/>
    <n v="381.88972020371756"/>
  </r>
  <r>
    <x v="3"/>
    <x v="90"/>
    <x v="90"/>
    <n v="380.59036750162625"/>
  </r>
  <r>
    <x v="3"/>
    <x v="91"/>
    <x v="91"/>
    <n v="368.95137389761931"/>
  </r>
  <r>
    <x v="3"/>
    <x v="92"/>
    <x v="92"/>
    <n v="298.4637057341676"/>
  </r>
  <r>
    <x v="3"/>
    <x v="93"/>
    <x v="93"/>
    <n v="300.00840469677928"/>
  </r>
  <r>
    <x v="3"/>
    <x v="94"/>
    <x v="94"/>
    <n v="508.24149442514732"/>
  </r>
  <r>
    <x v="4"/>
    <x v="0"/>
    <x v="0"/>
    <n v="277.00135086629433"/>
  </r>
  <r>
    <x v="4"/>
    <x v="134"/>
    <x v="134"/>
    <n v="305.74909863687174"/>
  </r>
  <r>
    <x v="4"/>
    <x v="1"/>
    <x v="1"/>
    <n v="289.53741516381399"/>
  </r>
  <r>
    <x v="4"/>
    <x v="2"/>
    <x v="2"/>
    <n v="311.42381867213129"/>
  </r>
  <r>
    <x v="4"/>
    <x v="3"/>
    <x v="3"/>
    <n v="271.42879822343878"/>
  </r>
  <r>
    <x v="4"/>
    <x v="95"/>
    <x v="95"/>
    <n v="360.42742241961832"/>
  </r>
  <r>
    <x v="4"/>
    <x v="131"/>
    <x v="131"/>
    <n v="367.716249337536"/>
  </r>
  <r>
    <x v="4"/>
    <x v="96"/>
    <x v="96"/>
    <n v="359.78061490013113"/>
  </r>
  <r>
    <x v="4"/>
    <x v="4"/>
    <x v="4"/>
    <n v="311.97372738071408"/>
  </r>
  <r>
    <x v="4"/>
    <x v="97"/>
    <x v="97"/>
    <n v="306.98999272933918"/>
  </r>
  <r>
    <x v="4"/>
    <x v="5"/>
    <x v="5"/>
    <n v="304.34934945284635"/>
  </r>
  <r>
    <x v="4"/>
    <x v="6"/>
    <x v="6"/>
    <n v="340.81965626417661"/>
  </r>
  <r>
    <x v="4"/>
    <x v="7"/>
    <x v="7"/>
    <n v="332.8458807045854"/>
  </r>
  <r>
    <x v="4"/>
    <x v="8"/>
    <x v="8"/>
    <n v="348.44476697351371"/>
  </r>
  <r>
    <x v="4"/>
    <x v="99"/>
    <x v="99"/>
    <n v="309.62906830717492"/>
  </r>
  <r>
    <x v="4"/>
    <x v="12"/>
    <x v="12"/>
    <n v="307.47509233497362"/>
  </r>
  <r>
    <x v="4"/>
    <x v="13"/>
    <x v="13"/>
    <n v="311.57556613318684"/>
  </r>
  <r>
    <x v="4"/>
    <x v="18"/>
    <x v="18"/>
    <n v="351.76128909675191"/>
  </r>
  <r>
    <x v="4"/>
    <x v="19"/>
    <x v="19"/>
    <n v="350.23478573176442"/>
  </r>
  <r>
    <x v="4"/>
    <x v="20"/>
    <x v="20"/>
    <n v="347.46696541711503"/>
  </r>
  <r>
    <x v="4"/>
    <x v="21"/>
    <x v="21"/>
    <n v="356.93366260489654"/>
  </r>
  <r>
    <x v="4"/>
    <x v="22"/>
    <x v="22"/>
    <n v="362.0500096763879"/>
  </r>
  <r>
    <x v="4"/>
    <x v="23"/>
    <x v="23"/>
    <n v="329.46404788130633"/>
  </r>
  <r>
    <x v="4"/>
    <x v="24"/>
    <x v="24"/>
    <n v="316.77853084687627"/>
  </r>
  <r>
    <x v="4"/>
    <x v="25"/>
    <x v="25"/>
    <n v="335.5135261365017"/>
  </r>
  <r>
    <x v="4"/>
    <x v="26"/>
    <x v="26"/>
    <n v="331.21769469078879"/>
  </r>
  <r>
    <x v="4"/>
    <x v="27"/>
    <x v="27"/>
    <n v="333.88513948708294"/>
  </r>
  <r>
    <x v="4"/>
    <x v="28"/>
    <x v="28"/>
    <n v="350.58841633351068"/>
  </r>
  <r>
    <x v="4"/>
    <x v="29"/>
    <x v="29"/>
    <n v="338.12760975236552"/>
  </r>
  <r>
    <x v="4"/>
    <x v="30"/>
    <x v="30"/>
    <n v="330.24873595894127"/>
  </r>
  <r>
    <x v="4"/>
    <x v="31"/>
    <x v="31"/>
    <n v="332.12783883172574"/>
  </r>
  <r>
    <x v="4"/>
    <x v="32"/>
    <x v="32"/>
    <n v="337.50347913481392"/>
  </r>
  <r>
    <x v="4"/>
    <x v="33"/>
    <x v="33"/>
    <n v="331.14923337799098"/>
  </r>
  <r>
    <x v="4"/>
    <x v="35"/>
    <x v="35"/>
    <n v="371.12394828094381"/>
  </r>
  <r>
    <x v="4"/>
    <x v="36"/>
    <x v="36"/>
    <n v="372.81471722317434"/>
  </r>
  <r>
    <x v="4"/>
    <x v="37"/>
    <x v="37"/>
    <n v="380.18349861447228"/>
  </r>
  <r>
    <x v="4"/>
    <x v="38"/>
    <x v="38"/>
    <n v="364.71849368626255"/>
  </r>
  <r>
    <x v="4"/>
    <x v="40"/>
    <x v="40"/>
    <n v="365.74514955269473"/>
  </r>
  <r>
    <x v="4"/>
    <x v="41"/>
    <x v="41"/>
    <n v="364.13576812166326"/>
  </r>
  <r>
    <x v="4"/>
    <x v="42"/>
    <x v="42"/>
    <n v="365.66051026970678"/>
  </r>
  <r>
    <x v="4"/>
    <x v="43"/>
    <x v="43"/>
    <n v="365.18030153980334"/>
  </r>
  <r>
    <x v="4"/>
    <x v="49"/>
    <x v="49"/>
    <n v="345.76372775847608"/>
  </r>
  <r>
    <x v="4"/>
    <x v="50"/>
    <x v="50"/>
    <n v="379.83007257059722"/>
  </r>
  <r>
    <x v="4"/>
    <x v="51"/>
    <x v="51"/>
    <n v="402.06497199449296"/>
  </r>
  <r>
    <x v="4"/>
    <x v="52"/>
    <x v="52"/>
    <n v="381.90278552963565"/>
  </r>
  <r>
    <x v="4"/>
    <x v="53"/>
    <x v="53"/>
    <n v="399.03322111541121"/>
  </r>
  <r>
    <x v="4"/>
    <x v="122"/>
    <x v="122"/>
    <n v="397.34773996742655"/>
  </r>
  <r>
    <x v="4"/>
    <x v="54"/>
    <x v="54"/>
    <n v="373.64610738410482"/>
  </r>
  <r>
    <x v="4"/>
    <x v="61"/>
    <x v="61"/>
    <n v="245.88095537337782"/>
  </r>
  <r>
    <x v="4"/>
    <x v="126"/>
    <x v="126"/>
    <n v="358.37400425901217"/>
  </r>
  <r>
    <x v="4"/>
    <x v="62"/>
    <x v="62"/>
    <n v="316.26571048650919"/>
  </r>
  <r>
    <x v="4"/>
    <x v="64"/>
    <x v="64"/>
    <n v="334.50799257767653"/>
  </r>
  <r>
    <x v="4"/>
    <x v="65"/>
    <x v="65"/>
    <n v="345.06983214988065"/>
  </r>
  <r>
    <x v="4"/>
    <x v="66"/>
    <x v="66"/>
    <n v="338.41029892820757"/>
  </r>
  <r>
    <x v="4"/>
    <x v="67"/>
    <x v="67"/>
    <n v="285.82856917593898"/>
  </r>
  <r>
    <x v="4"/>
    <x v="68"/>
    <x v="68"/>
    <n v="284.39253397888103"/>
  </r>
  <r>
    <x v="4"/>
    <x v="69"/>
    <x v="69"/>
    <n v="284.41632558814774"/>
  </r>
  <r>
    <x v="4"/>
    <x v="70"/>
    <x v="70"/>
    <n v="285.21601842529566"/>
  </r>
  <r>
    <x v="4"/>
    <x v="71"/>
    <x v="71"/>
    <n v="287.5965969178543"/>
  </r>
  <r>
    <x v="4"/>
    <x v="72"/>
    <x v="72"/>
    <n v="276.68221186886871"/>
  </r>
  <r>
    <x v="4"/>
    <x v="73"/>
    <x v="73"/>
    <n v="271.29183191133421"/>
  </r>
  <r>
    <x v="4"/>
    <x v="74"/>
    <x v="74"/>
    <n v="288.83310894491569"/>
  </r>
  <r>
    <x v="4"/>
    <x v="75"/>
    <x v="75"/>
    <n v="334.7571679172496"/>
  </r>
  <r>
    <x v="4"/>
    <x v="76"/>
    <x v="76"/>
    <n v="336.82241535492813"/>
  </r>
  <r>
    <x v="4"/>
    <x v="77"/>
    <x v="77"/>
    <n v="335.79874779147269"/>
  </r>
  <r>
    <x v="4"/>
    <x v="133"/>
    <x v="133"/>
    <n v="324.41911006935169"/>
  </r>
  <r>
    <x v="4"/>
    <x v="78"/>
    <x v="78"/>
    <n v="378.22147813343867"/>
  </r>
  <r>
    <x v="4"/>
    <x v="80"/>
    <x v="80"/>
    <n v="397.00363029689112"/>
  </r>
  <r>
    <x v="4"/>
    <x v="92"/>
    <x v="92"/>
    <n v="363.15224479753135"/>
  </r>
  <r>
    <x v="4"/>
    <x v="93"/>
    <x v="93"/>
    <n v="364.11726986295656"/>
  </r>
  <r>
    <x v="4"/>
    <x v="94"/>
    <x v="94"/>
    <n v="383.96643604102411"/>
  </r>
  <r>
    <x v="5"/>
    <x v="134"/>
    <x v="134"/>
    <n v="248.77632725521678"/>
  </r>
  <r>
    <x v="5"/>
    <x v="1"/>
    <x v="1"/>
    <n v="334.0457516817317"/>
  </r>
  <r>
    <x v="5"/>
    <x v="2"/>
    <x v="2"/>
    <n v="341.94384081170205"/>
  </r>
  <r>
    <x v="5"/>
    <x v="95"/>
    <x v="95"/>
    <n v="379.25239979903353"/>
  </r>
  <r>
    <x v="5"/>
    <x v="131"/>
    <x v="131"/>
    <n v="387.85152438062124"/>
  </r>
  <r>
    <x v="5"/>
    <x v="96"/>
    <x v="96"/>
    <n v="333.16675289825537"/>
  </r>
  <r>
    <x v="5"/>
    <x v="5"/>
    <x v="5"/>
    <n v="354.36516979381554"/>
  </r>
  <r>
    <x v="5"/>
    <x v="7"/>
    <x v="7"/>
    <n v="430.11620716533321"/>
  </r>
  <r>
    <x v="5"/>
    <x v="8"/>
    <x v="8"/>
    <n v="433.50857379019476"/>
  </r>
  <r>
    <x v="5"/>
    <x v="99"/>
    <x v="99"/>
    <n v="442.31007049950369"/>
  </r>
  <r>
    <x v="5"/>
    <x v="13"/>
    <x v="13"/>
    <n v="452.73830003795933"/>
  </r>
  <r>
    <x v="5"/>
    <x v="18"/>
    <x v="18"/>
    <n v="430.56261132767753"/>
  </r>
  <r>
    <x v="5"/>
    <x v="19"/>
    <x v="19"/>
    <n v="426.54357703830192"/>
  </r>
  <r>
    <x v="5"/>
    <x v="20"/>
    <x v="20"/>
    <n v="421.05143240459654"/>
  </r>
  <r>
    <x v="5"/>
    <x v="21"/>
    <x v="21"/>
    <n v="414.09209665862994"/>
  </r>
  <r>
    <x v="5"/>
    <x v="22"/>
    <x v="22"/>
    <n v="433.10695028183028"/>
  </r>
  <r>
    <x v="5"/>
    <x v="23"/>
    <x v="23"/>
    <n v="441.73807092593557"/>
  </r>
  <r>
    <x v="5"/>
    <x v="24"/>
    <x v="24"/>
    <n v="457.60189132460829"/>
  </r>
  <r>
    <x v="5"/>
    <x v="25"/>
    <x v="25"/>
    <n v="431.31615000663129"/>
  </r>
  <r>
    <x v="5"/>
    <x v="26"/>
    <x v="26"/>
    <n v="428.26383534333257"/>
  </r>
  <r>
    <x v="5"/>
    <x v="27"/>
    <x v="27"/>
    <n v="432.1190632367796"/>
  </r>
  <r>
    <x v="5"/>
    <x v="28"/>
    <x v="28"/>
    <n v="454.06271828329579"/>
  </r>
  <r>
    <x v="5"/>
    <x v="29"/>
    <x v="29"/>
    <n v="440.4345004752293"/>
  </r>
  <r>
    <x v="5"/>
    <x v="30"/>
    <x v="30"/>
    <n v="440.21772840851185"/>
  </r>
  <r>
    <x v="5"/>
    <x v="31"/>
    <x v="31"/>
    <n v="443.00587499560663"/>
  </r>
  <r>
    <x v="5"/>
    <x v="32"/>
    <x v="32"/>
    <n v="449.90824731000265"/>
  </r>
  <r>
    <x v="5"/>
    <x v="33"/>
    <x v="33"/>
    <n v="447.17681208959715"/>
  </r>
  <r>
    <x v="5"/>
    <x v="34"/>
    <x v="34"/>
    <n v="522.15220581781659"/>
  </r>
  <r>
    <x v="5"/>
    <x v="102"/>
    <x v="102"/>
    <n v="529.34885836114347"/>
  </r>
  <r>
    <x v="5"/>
    <x v="103"/>
    <x v="103"/>
    <n v="545.12853772162532"/>
  </r>
  <r>
    <x v="5"/>
    <x v="105"/>
    <x v="105"/>
    <n v="483.91082233561531"/>
  </r>
  <r>
    <x v="5"/>
    <x v="108"/>
    <x v="108"/>
    <n v="537.51202219647416"/>
  </r>
  <r>
    <x v="5"/>
    <x v="35"/>
    <x v="35"/>
    <n v="497.63575090334149"/>
  </r>
  <r>
    <x v="5"/>
    <x v="36"/>
    <x v="36"/>
    <n v="547.20632557835052"/>
  </r>
  <r>
    <x v="5"/>
    <x v="37"/>
    <x v="37"/>
    <n v="587.75590568533482"/>
  </r>
  <r>
    <x v="5"/>
    <x v="38"/>
    <x v="38"/>
    <n v="527.66246585239298"/>
  </r>
  <r>
    <x v="5"/>
    <x v="40"/>
    <x v="40"/>
    <n v="550.74633058857262"/>
  </r>
  <r>
    <x v="5"/>
    <x v="41"/>
    <x v="41"/>
    <n v="550.92741941776251"/>
  </r>
  <r>
    <x v="5"/>
    <x v="42"/>
    <x v="42"/>
    <n v="553.15885561554649"/>
  </r>
  <r>
    <x v="5"/>
    <x v="43"/>
    <x v="43"/>
    <n v="546.1211813332402"/>
  </r>
  <r>
    <x v="5"/>
    <x v="44"/>
    <x v="44"/>
    <n v="551.85635820219375"/>
  </r>
  <r>
    <x v="5"/>
    <x v="45"/>
    <x v="45"/>
    <n v="536.31260852306195"/>
  </r>
  <r>
    <x v="5"/>
    <x v="120"/>
    <x v="120"/>
    <n v="372.82789197961927"/>
  </r>
  <r>
    <x v="5"/>
    <x v="52"/>
    <x v="52"/>
    <n v="294.24304958367333"/>
  </r>
  <r>
    <x v="5"/>
    <x v="53"/>
    <x v="53"/>
    <n v="312.16815159607353"/>
  </r>
  <r>
    <x v="5"/>
    <x v="54"/>
    <x v="54"/>
    <n v="285.83447607016859"/>
  </r>
  <r>
    <x v="5"/>
    <x v="56"/>
    <x v="56"/>
    <n v="337.90227605447217"/>
  </r>
  <r>
    <x v="5"/>
    <x v="135"/>
    <x v="135"/>
    <n v="415.21751877893155"/>
  </r>
  <r>
    <x v="5"/>
    <x v="126"/>
    <x v="126"/>
    <n v="446.03605280388916"/>
  </r>
  <r>
    <x v="5"/>
    <x v="64"/>
    <x v="64"/>
    <n v="473.27282287883565"/>
  </r>
  <r>
    <x v="5"/>
    <x v="65"/>
    <x v="65"/>
    <n v="480.99661998040511"/>
  </r>
  <r>
    <x v="5"/>
    <x v="66"/>
    <x v="66"/>
    <n v="480.39215469935351"/>
  </r>
  <r>
    <x v="5"/>
    <x v="67"/>
    <x v="67"/>
    <n v="430.42316864512441"/>
  </r>
  <r>
    <x v="5"/>
    <x v="68"/>
    <x v="68"/>
    <n v="418.78835690574516"/>
  </r>
  <r>
    <x v="5"/>
    <x v="69"/>
    <x v="69"/>
    <n v="441.23300233389739"/>
  </r>
  <r>
    <x v="5"/>
    <x v="70"/>
    <x v="70"/>
    <n v="435.15033339859104"/>
  </r>
  <r>
    <x v="5"/>
    <x v="71"/>
    <x v="71"/>
    <n v="426.22276330979651"/>
  </r>
  <r>
    <x v="5"/>
    <x v="74"/>
    <x v="74"/>
    <n v="419.87214106633428"/>
  </r>
  <r>
    <x v="5"/>
    <x v="75"/>
    <x v="75"/>
    <n v="499.21155552448772"/>
  </r>
  <r>
    <x v="5"/>
    <x v="76"/>
    <x v="76"/>
    <n v="502.0181748413687"/>
  </r>
  <r>
    <x v="5"/>
    <x v="78"/>
    <x v="78"/>
    <n v="480.33806530600407"/>
  </r>
  <r>
    <x v="5"/>
    <x v="80"/>
    <x v="80"/>
    <n v="504.57841938237448"/>
  </r>
  <r>
    <x v="5"/>
    <x v="92"/>
    <x v="92"/>
    <n v="287.13282628434621"/>
  </r>
  <r>
    <x v="5"/>
    <x v="93"/>
    <x v="93"/>
    <n v="287.59462105677949"/>
  </r>
  <r>
    <x v="5"/>
    <x v="94"/>
    <x v="94"/>
    <n v="520.85981545719494"/>
  </r>
  <r>
    <x v="6"/>
    <x v="0"/>
    <x v="0"/>
    <n v="275.53156274102668"/>
  </r>
  <r>
    <x v="6"/>
    <x v="134"/>
    <x v="134"/>
    <n v="285.32748746295408"/>
  </r>
  <r>
    <x v="6"/>
    <x v="1"/>
    <x v="1"/>
    <n v="280.73594888945814"/>
  </r>
  <r>
    <x v="6"/>
    <x v="3"/>
    <x v="3"/>
    <n v="254.00268040223878"/>
  </r>
  <r>
    <x v="6"/>
    <x v="6"/>
    <x v="6"/>
    <n v="429.62566848628552"/>
  </r>
  <r>
    <x v="6"/>
    <x v="7"/>
    <x v="7"/>
    <n v="427.62023086220768"/>
  </r>
  <r>
    <x v="6"/>
    <x v="8"/>
    <x v="8"/>
    <n v="422.91164762777402"/>
  </r>
  <r>
    <x v="6"/>
    <x v="98"/>
    <x v="98"/>
    <n v="405.15187849916742"/>
  </r>
  <r>
    <x v="6"/>
    <x v="99"/>
    <x v="99"/>
    <n v="386.0245221968197"/>
  </r>
  <r>
    <x v="6"/>
    <x v="10"/>
    <x v="10"/>
    <n v="334.77241117719876"/>
  </r>
  <r>
    <x v="6"/>
    <x v="11"/>
    <x v="11"/>
    <n v="363.08533322613289"/>
  </r>
  <r>
    <x v="6"/>
    <x v="12"/>
    <x v="12"/>
    <n v="347.39086404230039"/>
  </r>
  <r>
    <x v="6"/>
    <x v="13"/>
    <x v="13"/>
    <n v="368.17392786178124"/>
  </r>
  <r>
    <x v="6"/>
    <x v="16"/>
    <x v="16"/>
    <n v="347.00753888541198"/>
  </r>
  <r>
    <x v="6"/>
    <x v="18"/>
    <x v="18"/>
    <n v="354.45719035048501"/>
  </r>
  <r>
    <x v="6"/>
    <x v="19"/>
    <x v="19"/>
    <n v="344.46450075765551"/>
  </r>
  <r>
    <x v="6"/>
    <x v="20"/>
    <x v="20"/>
    <n v="330.22652762107731"/>
  </r>
  <r>
    <x v="6"/>
    <x v="21"/>
    <x v="21"/>
    <n v="345.24398643381528"/>
  </r>
  <r>
    <x v="6"/>
    <x v="22"/>
    <x v="22"/>
    <n v="425.33500105344274"/>
  </r>
  <r>
    <x v="6"/>
    <x v="23"/>
    <x v="23"/>
    <n v="436.0735832022217"/>
  </r>
  <r>
    <x v="6"/>
    <x v="24"/>
    <x v="24"/>
    <n v="391.34137940349291"/>
  </r>
  <r>
    <x v="6"/>
    <x v="25"/>
    <x v="25"/>
    <n v="376.86761051547319"/>
  </r>
  <r>
    <x v="6"/>
    <x v="26"/>
    <x v="26"/>
    <n v="368.66815483548714"/>
  </r>
  <r>
    <x v="6"/>
    <x v="27"/>
    <x v="27"/>
    <n v="368.72814845042785"/>
  </r>
  <r>
    <x v="6"/>
    <x v="28"/>
    <x v="28"/>
    <n v="421.89438823394181"/>
  </r>
  <r>
    <x v="6"/>
    <x v="29"/>
    <x v="29"/>
    <n v="377.57905707913807"/>
  </r>
  <r>
    <x v="6"/>
    <x v="30"/>
    <x v="30"/>
    <n v="360.97530439069374"/>
  </r>
  <r>
    <x v="6"/>
    <x v="31"/>
    <x v="31"/>
    <n v="353.67612025525472"/>
  </r>
  <r>
    <x v="6"/>
    <x v="32"/>
    <x v="32"/>
    <n v="356.20663218204913"/>
  </r>
  <r>
    <x v="6"/>
    <x v="33"/>
    <x v="33"/>
    <n v="361.57409946129951"/>
  </r>
  <r>
    <x v="6"/>
    <x v="104"/>
    <x v="104"/>
    <n v="322.00829146701511"/>
  </r>
  <r>
    <x v="6"/>
    <x v="35"/>
    <x v="35"/>
    <n v="416.66446068742812"/>
  </r>
  <r>
    <x v="6"/>
    <x v="36"/>
    <x v="36"/>
    <n v="444.78196417484889"/>
  </r>
  <r>
    <x v="6"/>
    <x v="37"/>
    <x v="37"/>
    <n v="526.12396753006669"/>
  </r>
  <r>
    <x v="6"/>
    <x v="38"/>
    <x v="38"/>
    <n v="536.20951880724976"/>
  </r>
  <r>
    <x v="6"/>
    <x v="40"/>
    <x v="40"/>
    <n v="485.38875384932584"/>
  </r>
  <r>
    <x v="6"/>
    <x v="41"/>
    <x v="41"/>
    <n v="481.9805903006478"/>
  </r>
  <r>
    <x v="6"/>
    <x v="42"/>
    <x v="42"/>
    <n v="482.90331921784991"/>
  </r>
  <r>
    <x v="6"/>
    <x v="136"/>
    <x v="136"/>
    <n v="507.27630414065561"/>
  </r>
  <r>
    <x v="6"/>
    <x v="137"/>
    <x v="137"/>
    <n v="534.34441293968553"/>
  </r>
  <r>
    <x v="6"/>
    <x v="43"/>
    <x v="43"/>
    <n v="485.90388838809514"/>
  </r>
  <r>
    <x v="6"/>
    <x v="116"/>
    <x v="116"/>
    <n v="530.20009958283379"/>
  </r>
  <r>
    <x v="6"/>
    <x v="117"/>
    <x v="117"/>
    <n v="498.96541284965997"/>
  </r>
  <r>
    <x v="6"/>
    <x v="119"/>
    <x v="119"/>
    <n v="414.64990233548832"/>
  </r>
  <r>
    <x v="6"/>
    <x v="120"/>
    <x v="120"/>
    <n v="402.79034010500027"/>
  </r>
  <r>
    <x v="6"/>
    <x v="121"/>
    <x v="121"/>
    <n v="377.90513032845001"/>
  </r>
  <r>
    <x v="6"/>
    <x v="49"/>
    <x v="49"/>
    <n v="434.63606292066834"/>
  </r>
  <r>
    <x v="6"/>
    <x v="50"/>
    <x v="50"/>
    <n v="444.58901263746424"/>
  </r>
  <r>
    <x v="6"/>
    <x v="51"/>
    <x v="51"/>
    <n v="450.7215790353207"/>
  </r>
  <r>
    <x v="6"/>
    <x v="52"/>
    <x v="52"/>
    <n v="454.9277262165258"/>
  </r>
  <r>
    <x v="6"/>
    <x v="53"/>
    <x v="53"/>
    <n v="457.14635106777013"/>
  </r>
  <r>
    <x v="6"/>
    <x v="122"/>
    <x v="122"/>
    <n v="457.04614059701629"/>
  </r>
  <r>
    <x v="6"/>
    <x v="54"/>
    <x v="54"/>
    <n v="462.81418483886478"/>
  </r>
  <r>
    <x v="6"/>
    <x v="62"/>
    <x v="62"/>
    <n v="369.57851402625232"/>
  </r>
  <r>
    <x v="6"/>
    <x v="129"/>
    <x v="129"/>
    <n v="419.96978848014675"/>
  </r>
  <r>
    <x v="6"/>
    <x v="64"/>
    <x v="64"/>
    <n v="464.76241023227016"/>
  </r>
  <r>
    <x v="6"/>
    <x v="65"/>
    <x v="65"/>
    <n v="425.10448380621995"/>
  </r>
  <r>
    <x v="6"/>
    <x v="66"/>
    <x v="66"/>
    <n v="430.83847162838759"/>
  </r>
  <r>
    <x v="6"/>
    <x v="67"/>
    <x v="67"/>
    <n v="413.29584468045425"/>
  </r>
  <r>
    <x v="6"/>
    <x v="68"/>
    <x v="68"/>
    <n v="403.35872578360596"/>
  </r>
  <r>
    <x v="6"/>
    <x v="69"/>
    <x v="69"/>
    <n v="397.3725692266234"/>
  </r>
  <r>
    <x v="6"/>
    <x v="70"/>
    <x v="70"/>
    <n v="395.99180136271218"/>
  </r>
  <r>
    <x v="6"/>
    <x v="71"/>
    <x v="71"/>
    <n v="399.19135457173718"/>
  </r>
  <r>
    <x v="6"/>
    <x v="72"/>
    <x v="72"/>
    <n v="401.14785740436537"/>
  </r>
  <r>
    <x v="6"/>
    <x v="73"/>
    <x v="73"/>
    <n v="393.88564350040173"/>
  </r>
  <r>
    <x v="6"/>
    <x v="74"/>
    <x v="74"/>
    <n v="391.04327429216403"/>
  </r>
  <r>
    <x v="6"/>
    <x v="75"/>
    <x v="75"/>
    <n v="418.40919079737938"/>
  </r>
  <r>
    <x v="6"/>
    <x v="76"/>
    <x v="76"/>
    <n v="426.66999586552288"/>
  </r>
  <r>
    <x v="6"/>
    <x v="77"/>
    <x v="77"/>
    <n v="423.00129874451699"/>
  </r>
  <r>
    <x v="6"/>
    <x v="132"/>
    <x v="132"/>
    <n v="431.19137222961893"/>
  </r>
  <r>
    <x v="6"/>
    <x v="133"/>
    <x v="133"/>
    <n v="427.25132277952025"/>
  </r>
  <r>
    <x v="6"/>
    <x v="138"/>
    <x v="138"/>
    <n v="429.96999354969188"/>
  </r>
  <r>
    <x v="6"/>
    <x v="80"/>
    <x v="80"/>
    <n v="336.51118362035731"/>
  </r>
  <r>
    <x v="6"/>
    <x v="81"/>
    <x v="81"/>
    <n v="358.6250561556555"/>
  </r>
  <r>
    <x v="6"/>
    <x v="82"/>
    <x v="82"/>
    <n v="360.97124396655693"/>
  </r>
  <r>
    <x v="6"/>
    <x v="83"/>
    <x v="83"/>
    <n v="371.14106686019602"/>
  </r>
  <r>
    <x v="6"/>
    <x v="84"/>
    <x v="84"/>
    <n v="328.55243439752331"/>
  </r>
  <r>
    <x v="6"/>
    <x v="85"/>
    <x v="85"/>
    <n v="343.8632259765821"/>
  </r>
  <r>
    <x v="6"/>
    <x v="89"/>
    <x v="89"/>
    <n v="387.37225806715196"/>
  </r>
  <r>
    <x v="6"/>
    <x v="90"/>
    <x v="90"/>
    <n v="361.95575322885287"/>
  </r>
  <r>
    <x v="6"/>
    <x v="91"/>
    <x v="91"/>
    <n v="369.71248467858038"/>
  </r>
  <r>
    <x v="6"/>
    <x v="92"/>
    <x v="92"/>
    <n v="420.13902570038414"/>
  </r>
  <r>
    <x v="6"/>
    <x v="93"/>
    <x v="93"/>
    <n v="421.13360253684999"/>
  </r>
  <r>
    <x v="6"/>
    <x v="94"/>
    <x v="94"/>
    <n v="492.67179831550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20128-9BA4-CA4B-BBD2-04B74AFD57A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44" firstHeaderRow="1" firstDataRow="2" firstDataCol="1"/>
  <pivotFields count="7">
    <pivotField axis="axisCol" dataField="1"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>
      <items count="140">
        <item x="0"/>
        <item x="134"/>
        <item x="1"/>
        <item x="2"/>
        <item x="3"/>
        <item x="95"/>
        <item x="131"/>
        <item x="96"/>
        <item x="4"/>
        <item x="97"/>
        <item x="5"/>
        <item x="6"/>
        <item x="7"/>
        <item x="8"/>
        <item x="98"/>
        <item x="99"/>
        <item x="100"/>
        <item x="10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02"/>
        <item x="103"/>
        <item x="104"/>
        <item x="105"/>
        <item x="106"/>
        <item x="107"/>
        <item x="108"/>
        <item x="35"/>
        <item x="36"/>
        <item x="37"/>
        <item x="38"/>
        <item x="39"/>
        <item x="40"/>
        <item x="41"/>
        <item x="42"/>
        <item x="136"/>
        <item x="137"/>
        <item x="43"/>
        <item x="44"/>
        <item x="45"/>
        <item x="109"/>
        <item x="110"/>
        <item x="111"/>
        <item x="112"/>
        <item x="46"/>
        <item x="47"/>
        <item x="113"/>
        <item x="114"/>
        <item x="115"/>
        <item x="116"/>
        <item x="117"/>
        <item x="118"/>
        <item x="119"/>
        <item x="120"/>
        <item x="121"/>
        <item x="48"/>
        <item x="49"/>
        <item x="50"/>
        <item x="51"/>
        <item x="52"/>
        <item x="53"/>
        <item x="122"/>
        <item x="54"/>
        <item x="55"/>
        <item x="56"/>
        <item x="57"/>
        <item x="123"/>
        <item x="135"/>
        <item x="124"/>
        <item x="58"/>
        <item x="59"/>
        <item x="60"/>
        <item x="61"/>
        <item x="125"/>
        <item x="126"/>
        <item x="127"/>
        <item x="62"/>
        <item x="128"/>
        <item x="63"/>
        <item x="129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32"/>
        <item x="133"/>
        <item x="138"/>
        <item x="13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axis="axisRow" numFmtId="166" showAll="0">
      <items count="140">
        <item sd="0" x="0"/>
        <item sd="0" x="134"/>
        <item sd="0" x="1"/>
        <item x="2"/>
        <item x="3"/>
        <item x="95"/>
        <item x="131"/>
        <item x="96"/>
        <item x="4"/>
        <item x="97"/>
        <item x="5"/>
        <item x="6"/>
        <item x="7"/>
        <item x="8"/>
        <item x="98"/>
        <item x="99"/>
        <item x="100"/>
        <item x="10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02"/>
        <item x="103"/>
        <item x="104"/>
        <item x="105"/>
        <item x="106"/>
        <item x="107"/>
        <item x="108"/>
        <item x="35"/>
        <item x="36"/>
        <item x="37"/>
        <item x="38"/>
        <item x="39"/>
        <item x="40"/>
        <item x="41"/>
        <item x="42"/>
        <item x="136"/>
        <item x="137"/>
        <item x="43"/>
        <item x="44"/>
        <item x="45"/>
        <item x="109"/>
        <item x="110"/>
        <item x="111"/>
        <item x="112"/>
        <item x="46"/>
        <item x="47"/>
        <item x="113"/>
        <item x="114"/>
        <item x="115"/>
        <item x="116"/>
        <item x="117"/>
        <item x="118"/>
        <item x="119"/>
        <item x="120"/>
        <item x="121"/>
        <item x="48"/>
        <item x="49"/>
        <item x="50"/>
        <item x="51"/>
        <item x="52"/>
        <item x="53"/>
        <item x="122"/>
        <item x="54"/>
        <item x="55"/>
        <item x="56"/>
        <item x="57"/>
        <item x="123"/>
        <item x="135"/>
        <item x="124"/>
        <item x="58"/>
        <item x="59"/>
        <item x="60"/>
        <item x="61"/>
        <item x="125"/>
        <item x="126"/>
        <item x="127"/>
        <item x="62"/>
        <item x="128"/>
        <item x="63"/>
        <item x="129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32"/>
        <item x="133"/>
        <item x="138"/>
        <item x="13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"/>
  </rowFields>
  <rowItems count="1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ROI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886C-732A-204C-82AD-CEF77575EE9A}">
  <dimension ref="A1:H140"/>
  <sheetViews>
    <sheetView tabSelected="1" workbookViewId="0">
      <selection activeCell="J12" sqref="J12"/>
    </sheetView>
  </sheetViews>
  <sheetFormatPr baseColWidth="10" defaultRowHeight="15" x14ac:dyDescent="0.2"/>
  <sheetData>
    <row r="1" spans="1:8" ht="19" x14ac:dyDescent="0.25">
      <c r="A1" s="9" t="s">
        <v>154</v>
      </c>
      <c r="B1" s="10" t="s">
        <v>155</v>
      </c>
      <c r="C1" s="10" t="s">
        <v>156</v>
      </c>
      <c r="D1" s="10" t="s">
        <v>157</v>
      </c>
      <c r="E1" s="10" t="s">
        <v>158</v>
      </c>
      <c r="F1" s="10" t="s">
        <v>159</v>
      </c>
      <c r="G1" s="10" t="s">
        <v>160</v>
      </c>
      <c r="H1" s="10" t="s">
        <v>1</v>
      </c>
    </row>
    <row r="2" spans="1:8" x14ac:dyDescent="0.2">
      <c r="A2" s="8">
        <v>0.40699074074074076</v>
      </c>
      <c r="B2" s="11">
        <v>225.33325198560496</v>
      </c>
      <c r="C2" s="11">
        <v>232.71642418074956</v>
      </c>
      <c r="D2" s="11">
        <v>182.48870967683118</v>
      </c>
      <c r="E2" s="11">
        <v>286.57322380534544</v>
      </c>
      <c r="F2" s="11">
        <v>277.00135086629433</v>
      </c>
      <c r="G2" s="11" t="s">
        <v>161</v>
      </c>
      <c r="H2" s="11">
        <v>275.53156274102668</v>
      </c>
    </row>
    <row r="3" spans="1:8" x14ac:dyDescent="0.2">
      <c r="A3" s="8">
        <v>0.41550925925925924</v>
      </c>
      <c r="B3" s="11" t="s">
        <v>161</v>
      </c>
      <c r="C3" s="11" t="s">
        <v>161</v>
      </c>
      <c r="D3" s="11" t="s">
        <v>161</v>
      </c>
      <c r="E3" s="11" t="s">
        <v>161</v>
      </c>
      <c r="F3" s="11">
        <v>305.74909863687174</v>
      </c>
      <c r="G3" s="11">
        <v>248.77632725521678</v>
      </c>
      <c r="H3" s="11">
        <v>285.32748746295408</v>
      </c>
    </row>
    <row r="4" spans="1:8" x14ac:dyDescent="0.2">
      <c r="A4" s="8">
        <v>0.41690972222222222</v>
      </c>
      <c r="B4" s="11">
        <v>251.86392825060227</v>
      </c>
      <c r="C4" s="11">
        <v>303.68099069393941</v>
      </c>
      <c r="D4" s="11">
        <v>179.07680474826896</v>
      </c>
      <c r="E4" s="11" t="s">
        <v>161</v>
      </c>
      <c r="F4" s="11">
        <v>289.53741516381399</v>
      </c>
      <c r="G4" s="11">
        <v>334.0457516817317</v>
      </c>
      <c r="H4" s="11">
        <v>280.73594888945814</v>
      </c>
    </row>
    <row r="5" spans="1:8" x14ac:dyDescent="0.2">
      <c r="A5" s="8">
        <v>0.41692129629629632</v>
      </c>
      <c r="B5" s="11">
        <v>253.14317548011988</v>
      </c>
      <c r="C5" s="11">
        <v>290.70685721125744</v>
      </c>
      <c r="D5" s="11">
        <v>182.93008833770133</v>
      </c>
      <c r="E5" s="11" t="s">
        <v>161</v>
      </c>
      <c r="F5" s="11">
        <v>311.42381867213129</v>
      </c>
      <c r="G5" s="11">
        <v>341.94384081170205</v>
      </c>
      <c r="H5" s="11" t="s">
        <v>161</v>
      </c>
    </row>
    <row r="6" spans="1:8" x14ac:dyDescent="0.2">
      <c r="A6" s="8">
        <v>0.41693287037037036</v>
      </c>
      <c r="B6" s="11">
        <v>260.66468661069456</v>
      </c>
      <c r="C6" s="11">
        <v>291.35151752670492</v>
      </c>
      <c r="D6" s="11">
        <v>208.9530085772362</v>
      </c>
      <c r="E6" s="11" t="s">
        <v>161</v>
      </c>
      <c r="F6" s="11">
        <v>271.42879822343878</v>
      </c>
      <c r="G6" s="11" t="s">
        <v>161</v>
      </c>
      <c r="H6" s="11">
        <v>254.00268040223878</v>
      </c>
    </row>
    <row r="7" spans="1:8" x14ac:dyDescent="0.2">
      <c r="A7" s="8">
        <v>0.41694444444444445</v>
      </c>
      <c r="B7" s="11" t="s">
        <v>161</v>
      </c>
      <c r="C7" s="11">
        <v>220.19370564815728</v>
      </c>
      <c r="D7" s="11">
        <v>179.56721190718383</v>
      </c>
      <c r="E7" s="11" t="s">
        <v>161</v>
      </c>
      <c r="F7" s="11">
        <v>360.42742241961832</v>
      </c>
      <c r="G7" s="11">
        <v>379.25239979903353</v>
      </c>
      <c r="H7" s="11" t="s">
        <v>161</v>
      </c>
    </row>
    <row r="8" spans="1:8" x14ac:dyDescent="0.2">
      <c r="A8" s="8">
        <v>0.41695601851851855</v>
      </c>
      <c r="B8" s="11" t="s">
        <v>161</v>
      </c>
      <c r="C8" s="11" t="s">
        <v>161</v>
      </c>
      <c r="D8" s="11">
        <v>196.62578707702912</v>
      </c>
      <c r="E8" s="11" t="s">
        <v>161</v>
      </c>
      <c r="F8" s="11">
        <v>367.716249337536</v>
      </c>
      <c r="G8" s="11">
        <v>387.85152438062124</v>
      </c>
      <c r="H8" s="11" t="s">
        <v>161</v>
      </c>
    </row>
    <row r="9" spans="1:8" x14ac:dyDescent="0.2">
      <c r="A9" s="8">
        <v>0.41696759259259258</v>
      </c>
      <c r="B9" s="11" t="s">
        <v>161</v>
      </c>
      <c r="C9" s="11">
        <v>261.44114423984803</v>
      </c>
      <c r="D9" s="11" t="s">
        <v>161</v>
      </c>
      <c r="E9" s="11" t="s">
        <v>161</v>
      </c>
      <c r="F9" s="11">
        <v>359.78061490013113</v>
      </c>
      <c r="G9" s="11">
        <v>333.16675289825537</v>
      </c>
      <c r="H9" s="11" t="s">
        <v>161</v>
      </c>
    </row>
    <row r="10" spans="1:8" x14ac:dyDescent="0.2">
      <c r="A10" s="8">
        <v>0.41699074074074072</v>
      </c>
      <c r="B10" s="11">
        <v>193.4981196288098</v>
      </c>
      <c r="C10" s="11">
        <v>262.10714258030873</v>
      </c>
      <c r="D10" s="11" t="s">
        <v>161</v>
      </c>
      <c r="E10" s="11" t="s">
        <v>161</v>
      </c>
      <c r="F10" s="11">
        <v>311.97372738071408</v>
      </c>
      <c r="G10" s="11" t="s">
        <v>161</v>
      </c>
      <c r="H10" s="11" t="s">
        <v>161</v>
      </c>
    </row>
    <row r="11" spans="1:8" x14ac:dyDescent="0.2">
      <c r="A11" s="8">
        <v>0.41700231481481481</v>
      </c>
      <c r="B11" s="11" t="s">
        <v>161</v>
      </c>
      <c r="C11" s="11">
        <v>284.73311341413518</v>
      </c>
      <c r="D11" s="11" t="s">
        <v>161</v>
      </c>
      <c r="E11" s="11" t="s">
        <v>161</v>
      </c>
      <c r="F11" s="11">
        <v>306.98999272933918</v>
      </c>
      <c r="G11" s="11" t="s">
        <v>161</v>
      </c>
      <c r="H11" s="11" t="s">
        <v>161</v>
      </c>
    </row>
    <row r="12" spans="1:8" x14ac:dyDescent="0.2">
      <c r="A12" s="8">
        <v>0.41702546296296295</v>
      </c>
      <c r="B12" s="11">
        <v>257.20163195026731</v>
      </c>
      <c r="C12" s="11">
        <v>277.36393404105115</v>
      </c>
      <c r="D12" s="11" t="s">
        <v>161</v>
      </c>
      <c r="E12" s="11" t="s">
        <v>161</v>
      </c>
      <c r="F12" s="11">
        <v>304.34934945284635</v>
      </c>
      <c r="G12" s="11">
        <v>354.36516979381554</v>
      </c>
      <c r="H12" s="11" t="s">
        <v>161</v>
      </c>
    </row>
    <row r="13" spans="1:8" x14ac:dyDescent="0.2">
      <c r="A13" s="8">
        <v>0.41976851851851854</v>
      </c>
      <c r="B13" s="11">
        <v>333.18790088581318</v>
      </c>
      <c r="C13" s="11">
        <v>345.63747822771984</v>
      </c>
      <c r="D13" s="11">
        <v>254.85073786715813</v>
      </c>
      <c r="E13" s="11">
        <v>331.54912351445961</v>
      </c>
      <c r="F13" s="11">
        <v>340.81965626417661</v>
      </c>
      <c r="G13" s="11" t="s">
        <v>161</v>
      </c>
      <c r="H13" s="11">
        <v>429.62566848628552</v>
      </c>
    </row>
    <row r="14" spans="1:8" x14ac:dyDescent="0.2">
      <c r="A14" s="8">
        <v>0.41978009259259258</v>
      </c>
      <c r="B14" s="11">
        <v>289.87583779811206</v>
      </c>
      <c r="C14" s="11">
        <v>334.88741573837103</v>
      </c>
      <c r="D14" s="11">
        <v>200.7353138448145</v>
      </c>
      <c r="E14" s="11">
        <v>303.05222591665665</v>
      </c>
      <c r="F14" s="11">
        <v>332.8458807045854</v>
      </c>
      <c r="G14" s="11">
        <v>430.11620716533321</v>
      </c>
      <c r="H14" s="11">
        <v>427.62023086220768</v>
      </c>
    </row>
    <row r="15" spans="1:8" x14ac:dyDescent="0.2">
      <c r="A15" s="8">
        <v>0.41979166666666667</v>
      </c>
      <c r="B15" s="11">
        <v>299.12922452697393</v>
      </c>
      <c r="C15" s="11">
        <v>335.92809532984398</v>
      </c>
      <c r="D15" s="11">
        <v>198.78138292295978</v>
      </c>
      <c r="E15" s="11">
        <v>294.75707877931961</v>
      </c>
      <c r="F15" s="11">
        <v>348.44476697351371</v>
      </c>
      <c r="G15" s="11">
        <v>433.50857379019476</v>
      </c>
      <c r="H15" s="11">
        <v>422.91164762777402</v>
      </c>
    </row>
    <row r="16" spans="1:8" x14ac:dyDescent="0.2">
      <c r="A16" s="8">
        <v>0.41980324074074077</v>
      </c>
      <c r="B16" s="11" t="s">
        <v>161</v>
      </c>
      <c r="C16" s="11">
        <v>340.99882867054663</v>
      </c>
      <c r="D16" s="11" t="s">
        <v>161</v>
      </c>
      <c r="E16" s="11" t="s">
        <v>161</v>
      </c>
      <c r="F16" s="11" t="s">
        <v>161</v>
      </c>
      <c r="G16" s="11" t="s">
        <v>161</v>
      </c>
      <c r="H16" s="11">
        <v>405.15187849916742</v>
      </c>
    </row>
    <row r="17" spans="1:8" x14ac:dyDescent="0.2">
      <c r="A17" s="8">
        <v>0.41981481481481481</v>
      </c>
      <c r="B17" s="11" t="s">
        <v>161</v>
      </c>
      <c r="C17" s="11">
        <v>334.22650570806508</v>
      </c>
      <c r="D17" s="11" t="s">
        <v>161</v>
      </c>
      <c r="E17" s="11" t="s">
        <v>161</v>
      </c>
      <c r="F17" s="11">
        <v>309.62906830717492</v>
      </c>
      <c r="G17" s="11">
        <v>442.31007049950369</v>
      </c>
      <c r="H17" s="11">
        <v>386.0245221968197</v>
      </c>
    </row>
    <row r="18" spans="1:8" x14ac:dyDescent="0.2">
      <c r="A18" s="8">
        <v>0.41983796296296294</v>
      </c>
      <c r="B18" s="11" t="s">
        <v>161</v>
      </c>
      <c r="C18" s="11">
        <v>333.11060717985038</v>
      </c>
      <c r="D18" s="11" t="s">
        <v>161</v>
      </c>
      <c r="E18" s="11" t="s">
        <v>161</v>
      </c>
      <c r="F18" s="11" t="s">
        <v>161</v>
      </c>
      <c r="G18" s="11" t="s">
        <v>161</v>
      </c>
      <c r="H18" s="11" t="s">
        <v>161</v>
      </c>
    </row>
    <row r="19" spans="1:8" x14ac:dyDescent="0.2">
      <c r="A19" s="8">
        <v>0.41984953703703703</v>
      </c>
      <c r="B19" s="11" t="s">
        <v>161</v>
      </c>
      <c r="C19" s="11">
        <v>342.64677753398979</v>
      </c>
      <c r="D19" s="11" t="s">
        <v>161</v>
      </c>
      <c r="E19" s="11" t="s">
        <v>161</v>
      </c>
      <c r="F19" s="11" t="s">
        <v>161</v>
      </c>
      <c r="G19" s="11" t="s">
        <v>161</v>
      </c>
      <c r="H19" s="11" t="s">
        <v>161</v>
      </c>
    </row>
    <row r="20" spans="1:8" x14ac:dyDescent="0.2">
      <c r="A20" s="8">
        <v>0.41986111111111113</v>
      </c>
      <c r="B20" s="11">
        <v>330.76576865742447</v>
      </c>
      <c r="C20" s="11">
        <v>331.53420692040731</v>
      </c>
      <c r="D20" s="11">
        <v>218.72703843614295</v>
      </c>
      <c r="E20" s="11">
        <v>326.07128995914445</v>
      </c>
      <c r="F20" s="11" t="s">
        <v>161</v>
      </c>
      <c r="G20" s="11" t="s">
        <v>161</v>
      </c>
      <c r="H20" s="11" t="s">
        <v>161</v>
      </c>
    </row>
    <row r="21" spans="1:8" x14ac:dyDescent="0.2">
      <c r="A21" s="8">
        <v>0.41987268518518517</v>
      </c>
      <c r="B21" s="11">
        <v>324.15881062988456</v>
      </c>
      <c r="C21" s="11">
        <v>344.88562469684013</v>
      </c>
      <c r="D21" s="11">
        <v>216.10759060254932</v>
      </c>
      <c r="E21" s="11">
        <v>330.36943778179824</v>
      </c>
      <c r="F21" s="11" t="s">
        <v>161</v>
      </c>
      <c r="G21" s="11" t="s">
        <v>161</v>
      </c>
      <c r="H21" s="11">
        <v>334.77241117719876</v>
      </c>
    </row>
    <row r="22" spans="1:8" x14ac:dyDescent="0.2">
      <c r="A22" s="8">
        <v>0.41989583333333336</v>
      </c>
      <c r="B22" s="11">
        <v>324.43145990632769</v>
      </c>
      <c r="C22" s="11">
        <v>322.50880531107464</v>
      </c>
      <c r="D22" s="11" t="s">
        <v>161</v>
      </c>
      <c r="E22" s="11" t="s">
        <v>161</v>
      </c>
      <c r="F22" s="11" t="s">
        <v>161</v>
      </c>
      <c r="G22" s="11" t="s">
        <v>161</v>
      </c>
      <c r="H22" s="11">
        <v>363.08533322613289</v>
      </c>
    </row>
    <row r="23" spans="1:8" x14ac:dyDescent="0.2">
      <c r="A23" s="8">
        <v>0.4199074074074074</v>
      </c>
      <c r="B23" s="11">
        <v>325.08345954186177</v>
      </c>
      <c r="C23" s="11">
        <v>322.37366593976776</v>
      </c>
      <c r="D23" s="11">
        <v>202.91859773397724</v>
      </c>
      <c r="E23" s="11">
        <v>329.18737187030962</v>
      </c>
      <c r="F23" s="11">
        <v>307.47509233497362</v>
      </c>
      <c r="G23" s="11" t="s">
        <v>161</v>
      </c>
      <c r="H23" s="11">
        <v>347.39086404230039</v>
      </c>
    </row>
    <row r="24" spans="1:8" x14ac:dyDescent="0.2">
      <c r="A24" s="8">
        <v>0.41991898148148149</v>
      </c>
      <c r="B24" s="11">
        <v>318.89795314864574</v>
      </c>
      <c r="C24" s="11">
        <v>322.17975585895067</v>
      </c>
      <c r="D24" s="11">
        <v>207.89849000685075</v>
      </c>
      <c r="E24" s="11">
        <v>330.52079291823242</v>
      </c>
      <c r="F24" s="11">
        <v>311.57556613318684</v>
      </c>
      <c r="G24" s="11">
        <v>452.73830003795933</v>
      </c>
      <c r="H24" s="11">
        <v>368.17392786178124</v>
      </c>
    </row>
    <row r="25" spans="1:8" x14ac:dyDescent="0.2">
      <c r="A25" s="8">
        <v>0.41993055555555553</v>
      </c>
      <c r="B25" s="11">
        <v>317.62927593534528</v>
      </c>
      <c r="C25" s="11">
        <v>313.89273573355553</v>
      </c>
      <c r="D25" s="11" t="s">
        <v>161</v>
      </c>
      <c r="E25" s="11" t="s">
        <v>161</v>
      </c>
      <c r="F25" s="11" t="s">
        <v>161</v>
      </c>
      <c r="G25" s="11" t="s">
        <v>161</v>
      </c>
      <c r="H25" s="11" t="s">
        <v>161</v>
      </c>
    </row>
    <row r="26" spans="1:8" x14ac:dyDescent="0.2">
      <c r="A26" s="8">
        <v>0.41994212962962962</v>
      </c>
      <c r="B26" s="11">
        <v>360.98467626520198</v>
      </c>
      <c r="C26" s="11">
        <v>348.76075013738176</v>
      </c>
      <c r="D26" s="11">
        <v>233.85886255654887</v>
      </c>
      <c r="E26" s="11">
        <v>363.71067923854275</v>
      </c>
      <c r="F26" s="11" t="s">
        <v>161</v>
      </c>
      <c r="G26" s="11" t="s">
        <v>161</v>
      </c>
      <c r="H26" s="11" t="s">
        <v>161</v>
      </c>
    </row>
    <row r="27" spans="1:8" x14ac:dyDescent="0.2">
      <c r="A27" s="8">
        <v>0.41995370370370372</v>
      </c>
      <c r="B27" s="11">
        <v>317.50218593603779</v>
      </c>
      <c r="C27" s="11">
        <v>329.40712761090441</v>
      </c>
      <c r="D27" s="11" t="s">
        <v>161</v>
      </c>
      <c r="E27" s="11">
        <v>333.73395855531697</v>
      </c>
      <c r="F27" s="11" t="s">
        <v>161</v>
      </c>
      <c r="G27" s="11" t="s">
        <v>161</v>
      </c>
      <c r="H27" s="11">
        <v>347.00753888541198</v>
      </c>
    </row>
    <row r="28" spans="1:8" x14ac:dyDescent="0.2">
      <c r="A28" s="8">
        <v>0.41996527777777776</v>
      </c>
      <c r="B28" s="11">
        <v>334.9661312286396</v>
      </c>
      <c r="C28" s="11">
        <v>327.29589538990541</v>
      </c>
      <c r="D28" s="11" t="s">
        <v>161</v>
      </c>
      <c r="E28" s="11">
        <v>334.74395213708368</v>
      </c>
      <c r="F28" s="11" t="s">
        <v>161</v>
      </c>
      <c r="G28" s="11" t="s">
        <v>161</v>
      </c>
      <c r="H28" s="11" t="s">
        <v>161</v>
      </c>
    </row>
    <row r="29" spans="1:8" x14ac:dyDescent="0.2">
      <c r="A29" s="8">
        <v>0.41997685185185185</v>
      </c>
      <c r="B29" s="11">
        <v>342.43744636345923</v>
      </c>
      <c r="C29" s="11">
        <v>330.12175558587364</v>
      </c>
      <c r="D29" s="11">
        <v>191.05478154254328</v>
      </c>
      <c r="E29" s="11">
        <v>339.43941674482124</v>
      </c>
      <c r="F29" s="11">
        <v>351.76128909675191</v>
      </c>
      <c r="G29" s="11">
        <v>430.56261132767753</v>
      </c>
      <c r="H29" s="11">
        <v>354.45719035048501</v>
      </c>
    </row>
    <row r="30" spans="1:8" x14ac:dyDescent="0.2">
      <c r="A30" s="8">
        <v>0.41998842592592595</v>
      </c>
      <c r="B30" s="11">
        <v>340.0946640529599</v>
      </c>
      <c r="C30" s="11">
        <v>328.91032162412034</v>
      </c>
      <c r="D30" s="11">
        <v>185.24535576175549</v>
      </c>
      <c r="E30" s="11">
        <v>337.1318985383283</v>
      </c>
      <c r="F30" s="11">
        <v>350.23478573176442</v>
      </c>
      <c r="G30" s="11">
        <v>426.54357703830192</v>
      </c>
      <c r="H30" s="11">
        <v>344.46450075765551</v>
      </c>
    </row>
    <row r="31" spans="1:8" x14ac:dyDescent="0.2">
      <c r="A31" s="8">
        <v>0.42</v>
      </c>
      <c r="B31" s="11">
        <v>337.41801027392484</v>
      </c>
      <c r="C31" s="11">
        <v>324.56831296890186</v>
      </c>
      <c r="D31" s="11">
        <v>179.80819809198368</v>
      </c>
      <c r="E31" s="11">
        <v>337.32473951650508</v>
      </c>
      <c r="F31" s="11">
        <v>347.46696541711503</v>
      </c>
      <c r="G31" s="11">
        <v>421.05143240459654</v>
      </c>
      <c r="H31" s="11">
        <v>330.22652762107731</v>
      </c>
    </row>
    <row r="32" spans="1:8" x14ac:dyDescent="0.2">
      <c r="A32" s="8">
        <v>0.42001157407407408</v>
      </c>
      <c r="B32" s="11">
        <v>344.51895944077216</v>
      </c>
      <c r="C32" s="11">
        <v>325.23702339468053</v>
      </c>
      <c r="D32" s="11">
        <v>186.23391619622291</v>
      </c>
      <c r="E32" s="11">
        <v>340.13071753871668</v>
      </c>
      <c r="F32" s="11">
        <v>356.93366260489654</v>
      </c>
      <c r="G32" s="11">
        <v>414.09209665862994</v>
      </c>
      <c r="H32" s="11">
        <v>345.24398643381528</v>
      </c>
    </row>
    <row r="33" spans="1:8" x14ac:dyDescent="0.2">
      <c r="A33" s="8">
        <v>0.42002314814814817</v>
      </c>
      <c r="B33" s="11">
        <v>344.19507426197526</v>
      </c>
      <c r="C33" s="11">
        <v>338.82898521414387</v>
      </c>
      <c r="D33" s="11">
        <v>216.2845122211142</v>
      </c>
      <c r="E33" s="11">
        <v>353.91099212886115</v>
      </c>
      <c r="F33" s="11">
        <v>362.0500096763879</v>
      </c>
      <c r="G33" s="11">
        <v>433.10695028183028</v>
      </c>
      <c r="H33" s="11">
        <v>425.33500105344274</v>
      </c>
    </row>
    <row r="34" spans="1:8" x14ac:dyDescent="0.2">
      <c r="A34" s="8">
        <v>0.42003472222222221</v>
      </c>
      <c r="B34" s="11">
        <v>330.43075754776271</v>
      </c>
      <c r="C34" s="11">
        <v>326.35660375753736</v>
      </c>
      <c r="D34" s="11">
        <v>215.85154160895584</v>
      </c>
      <c r="E34" s="11">
        <v>322.8341499697728</v>
      </c>
      <c r="F34" s="11">
        <v>329.46404788130633</v>
      </c>
      <c r="G34" s="11">
        <v>441.73807092593557</v>
      </c>
      <c r="H34" s="11">
        <v>436.0735832022217</v>
      </c>
    </row>
    <row r="35" spans="1:8" x14ac:dyDescent="0.2">
      <c r="A35" s="8">
        <v>0.42004629629629631</v>
      </c>
      <c r="B35" s="11">
        <v>320.628215178159</v>
      </c>
      <c r="C35" s="11">
        <v>333.53553115762895</v>
      </c>
      <c r="D35" s="11">
        <v>209.33095184263999</v>
      </c>
      <c r="E35" s="11">
        <v>333.33949932346832</v>
      </c>
      <c r="F35" s="11">
        <v>316.77853084687627</v>
      </c>
      <c r="G35" s="11">
        <v>457.60189132460829</v>
      </c>
      <c r="H35" s="11">
        <v>391.34137940349291</v>
      </c>
    </row>
    <row r="36" spans="1:8" x14ac:dyDescent="0.2">
      <c r="A36" s="8">
        <v>0.42005787037037035</v>
      </c>
      <c r="B36" s="11">
        <v>339.99597521947669</v>
      </c>
      <c r="C36" s="11">
        <v>332.33156633937045</v>
      </c>
      <c r="D36" s="11">
        <v>202.97746533509175</v>
      </c>
      <c r="E36" s="11">
        <v>344.94476087659973</v>
      </c>
      <c r="F36" s="11">
        <v>335.5135261365017</v>
      </c>
      <c r="G36" s="11">
        <v>431.31615000663129</v>
      </c>
      <c r="H36" s="11">
        <v>376.86761051547319</v>
      </c>
    </row>
    <row r="37" spans="1:8" x14ac:dyDescent="0.2">
      <c r="A37" s="8">
        <v>0.42006944444444444</v>
      </c>
      <c r="B37" s="11">
        <v>336.7935571106384</v>
      </c>
      <c r="C37" s="11">
        <v>328.22234972283059</v>
      </c>
      <c r="D37" s="11">
        <v>193.98259018395899</v>
      </c>
      <c r="E37" s="11">
        <v>343.65599700772162</v>
      </c>
      <c r="F37" s="11">
        <v>331.21769469078879</v>
      </c>
      <c r="G37" s="11">
        <v>428.26383534333257</v>
      </c>
      <c r="H37" s="11">
        <v>368.66815483548714</v>
      </c>
    </row>
    <row r="38" spans="1:8" x14ac:dyDescent="0.2">
      <c r="A38" s="8">
        <v>0.42008101851851853</v>
      </c>
      <c r="B38" s="11">
        <v>338.15095891969059</v>
      </c>
      <c r="C38" s="11">
        <v>326.823985755443</v>
      </c>
      <c r="D38" s="11">
        <v>196.56632758422785</v>
      </c>
      <c r="E38" s="11">
        <v>342.07672352519836</v>
      </c>
      <c r="F38" s="11">
        <v>333.88513948708294</v>
      </c>
      <c r="G38" s="11">
        <v>432.1190632367796</v>
      </c>
      <c r="H38" s="11">
        <v>368.72814845042785</v>
      </c>
    </row>
    <row r="39" spans="1:8" x14ac:dyDescent="0.2">
      <c r="A39" s="8">
        <v>0.42009259259259257</v>
      </c>
      <c r="B39" s="11">
        <v>349.86495003805254</v>
      </c>
      <c r="C39" s="11">
        <v>336.44039849245968</v>
      </c>
      <c r="D39" s="11">
        <v>214.85257679209403</v>
      </c>
      <c r="E39" s="11">
        <v>351.43271500274761</v>
      </c>
      <c r="F39" s="11">
        <v>350.58841633351068</v>
      </c>
      <c r="G39" s="11">
        <v>454.06271828329579</v>
      </c>
      <c r="H39" s="11">
        <v>421.89438823394181</v>
      </c>
    </row>
    <row r="40" spans="1:8" x14ac:dyDescent="0.2">
      <c r="A40" s="8">
        <v>0.42010416666666667</v>
      </c>
      <c r="B40" s="11">
        <v>349.63506064331665</v>
      </c>
      <c r="C40" s="11">
        <v>334.61819003066745</v>
      </c>
      <c r="D40" s="11">
        <v>208.76445515772286</v>
      </c>
      <c r="E40" s="11">
        <v>348.21796106118637</v>
      </c>
      <c r="F40" s="11">
        <v>338.12760975236552</v>
      </c>
      <c r="G40" s="11">
        <v>440.4345004752293</v>
      </c>
      <c r="H40" s="11">
        <v>377.57905707913807</v>
      </c>
    </row>
    <row r="41" spans="1:8" x14ac:dyDescent="0.2">
      <c r="A41" s="8">
        <v>0.42011574074074076</v>
      </c>
      <c r="B41" s="11">
        <v>344.79406780754709</v>
      </c>
      <c r="C41" s="11">
        <v>329.87224021709051</v>
      </c>
      <c r="D41" s="11">
        <v>204.02018690356792</v>
      </c>
      <c r="E41" s="11">
        <v>343.83586471507766</v>
      </c>
      <c r="F41" s="11">
        <v>330.24873595894127</v>
      </c>
      <c r="G41" s="11">
        <v>440.21772840851185</v>
      </c>
      <c r="H41" s="11">
        <v>360.97530439069374</v>
      </c>
    </row>
    <row r="42" spans="1:8" x14ac:dyDescent="0.2">
      <c r="A42" s="8">
        <v>0.4201273148148148</v>
      </c>
      <c r="B42" s="11">
        <v>342.73149302214631</v>
      </c>
      <c r="C42" s="11">
        <v>330.55963503585582</v>
      </c>
      <c r="D42" s="11">
        <v>202.14760582221436</v>
      </c>
      <c r="E42" s="11">
        <v>345.79747300962003</v>
      </c>
      <c r="F42" s="11">
        <v>332.12783883172574</v>
      </c>
      <c r="G42" s="11">
        <v>443.00587499560663</v>
      </c>
      <c r="H42" s="11">
        <v>353.67612025525472</v>
      </c>
    </row>
    <row r="43" spans="1:8" x14ac:dyDescent="0.2">
      <c r="A43" s="8">
        <v>0.4201388888888889</v>
      </c>
      <c r="B43" s="11">
        <v>345.67783016686707</v>
      </c>
      <c r="C43" s="11">
        <v>333.78767229786047</v>
      </c>
      <c r="D43" s="11">
        <v>206.92093293898009</v>
      </c>
      <c r="E43" s="11">
        <v>351.54471157181342</v>
      </c>
      <c r="F43" s="11">
        <v>337.50347913481392</v>
      </c>
      <c r="G43" s="11">
        <v>449.90824731000265</v>
      </c>
      <c r="H43" s="11">
        <v>356.20663218204913</v>
      </c>
    </row>
    <row r="44" spans="1:8" x14ac:dyDescent="0.2">
      <c r="A44" s="8">
        <v>0.42015046296296299</v>
      </c>
      <c r="B44" s="11">
        <v>341.58313215117403</v>
      </c>
      <c r="C44" s="11">
        <v>331.60905319151607</v>
      </c>
      <c r="D44" s="11">
        <v>205.5384101736914</v>
      </c>
      <c r="E44" s="11">
        <v>344.50480056396134</v>
      </c>
      <c r="F44" s="11">
        <v>331.14923337799098</v>
      </c>
      <c r="G44" s="11">
        <v>447.17681208959715</v>
      </c>
      <c r="H44" s="11">
        <v>361.57409946129951</v>
      </c>
    </row>
    <row r="45" spans="1:8" x14ac:dyDescent="0.2">
      <c r="A45" s="8">
        <v>0.42119212962962965</v>
      </c>
      <c r="B45" s="11">
        <v>385.23092434292647</v>
      </c>
      <c r="C45" s="11">
        <v>430.40595118666266</v>
      </c>
      <c r="D45" s="11">
        <v>265.535634316916</v>
      </c>
      <c r="E45" s="11">
        <v>542.67656693957974</v>
      </c>
      <c r="F45" s="11" t="s">
        <v>161</v>
      </c>
      <c r="G45" s="11">
        <v>522.15220581781659</v>
      </c>
      <c r="H45" s="11" t="s">
        <v>161</v>
      </c>
    </row>
    <row r="46" spans="1:8" x14ac:dyDescent="0.2">
      <c r="A46" s="8">
        <v>0.42120370370370369</v>
      </c>
      <c r="B46" s="11" t="s">
        <v>161</v>
      </c>
      <c r="C46" s="11">
        <v>428.73935919932217</v>
      </c>
      <c r="D46" s="11">
        <v>269.37125199986747</v>
      </c>
      <c r="E46" s="11">
        <v>515.92798616092637</v>
      </c>
      <c r="F46" s="11" t="s">
        <v>161</v>
      </c>
      <c r="G46" s="11">
        <v>529.34885836114347</v>
      </c>
      <c r="H46" s="11" t="s">
        <v>161</v>
      </c>
    </row>
    <row r="47" spans="1:8" x14ac:dyDescent="0.2">
      <c r="A47" s="8">
        <v>0.42121527777777779</v>
      </c>
      <c r="B47" s="11" t="s">
        <v>161</v>
      </c>
      <c r="C47" s="11">
        <v>435.97460077119001</v>
      </c>
      <c r="D47" s="11" t="s">
        <v>161</v>
      </c>
      <c r="E47" s="11">
        <v>525.101338690803</v>
      </c>
      <c r="F47" s="11" t="s">
        <v>161</v>
      </c>
      <c r="G47" s="11">
        <v>545.12853772162532</v>
      </c>
      <c r="H47" s="11" t="s">
        <v>161</v>
      </c>
    </row>
    <row r="48" spans="1:8" x14ac:dyDescent="0.2">
      <c r="A48" s="8">
        <v>0.42122685185185182</v>
      </c>
      <c r="B48" s="11" t="s">
        <v>161</v>
      </c>
      <c r="C48" s="11">
        <v>435.68445740394884</v>
      </c>
      <c r="D48" s="11" t="s">
        <v>161</v>
      </c>
      <c r="E48" s="11">
        <v>553.9629198707554</v>
      </c>
      <c r="F48" s="11" t="s">
        <v>161</v>
      </c>
      <c r="G48" s="11" t="s">
        <v>161</v>
      </c>
      <c r="H48" s="11">
        <v>322.00829146701511</v>
      </c>
    </row>
    <row r="49" spans="1:8" x14ac:dyDescent="0.2">
      <c r="A49" s="8">
        <v>0.42123842592592592</v>
      </c>
      <c r="B49" s="11" t="s">
        <v>161</v>
      </c>
      <c r="C49" s="11">
        <v>436.9535299374889</v>
      </c>
      <c r="D49" s="11">
        <v>236.0134555971066</v>
      </c>
      <c r="E49" s="11">
        <v>536.81967972940186</v>
      </c>
      <c r="F49" s="11" t="s">
        <v>161</v>
      </c>
      <c r="G49" s="11">
        <v>483.91082233561531</v>
      </c>
      <c r="H49" s="11" t="s">
        <v>161</v>
      </c>
    </row>
    <row r="50" spans="1:8" x14ac:dyDescent="0.2">
      <c r="A50" s="8">
        <v>0.42125000000000001</v>
      </c>
      <c r="B50" s="11" t="s">
        <v>161</v>
      </c>
      <c r="C50" s="11">
        <v>412.54832969773804</v>
      </c>
      <c r="D50" s="11">
        <v>248.53094252046972</v>
      </c>
      <c r="E50" s="11" t="s">
        <v>161</v>
      </c>
      <c r="F50" s="11" t="s">
        <v>161</v>
      </c>
      <c r="G50" s="11" t="s">
        <v>161</v>
      </c>
      <c r="H50" s="11" t="s">
        <v>161</v>
      </c>
    </row>
    <row r="51" spans="1:8" x14ac:dyDescent="0.2">
      <c r="A51" s="8">
        <v>0.42126157407407405</v>
      </c>
      <c r="B51" s="11" t="s">
        <v>161</v>
      </c>
      <c r="C51" s="11">
        <v>423.67391421206855</v>
      </c>
      <c r="D51" s="11" t="s">
        <v>161</v>
      </c>
      <c r="E51" s="11" t="s">
        <v>161</v>
      </c>
      <c r="F51" s="11" t="s">
        <v>161</v>
      </c>
      <c r="G51" s="11" t="s">
        <v>161</v>
      </c>
      <c r="H51" s="11" t="s">
        <v>161</v>
      </c>
    </row>
    <row r="52" spans="1:8" x14ac:dyDescent="0.2">
      <c r="A52" s="8">
        <v>0.42127314814814815</v>
      </c>
      <c r="B52" s="11" t="s">
        <v>161</v>
      </c>
      <c r="C52" s="11">
        <v>431.41436763684146</v>
      </c>
      <c r="D52" s="11" t="s">
        <v>161</v>
      </c>
      <c r="E52" s="11">
        <v>508.54724321530864</v>
      </c>
      <c r="F52" s="11" t="s">
        <v>161</v>
      </c>
      <c r="G52" s="11">
        <v>537.51202219647416</v>
      </c>
      <c r="H52" s="11" t="s">
        <v>161</v>
      </c>
    </row>
    <row r="53" spans="1:8" x14ac:dyDescent="0.2">
      <c r="A53" s="8">
        <v>0.42129629629629628</v>
      </c>
      <c r="B53" s="11">
        <v>356.20492616341505</v>
      </c>
      <c r="C53" s="11">
        <v>442.05782434054157</v>
      </c>
      <c r="D53" s="11">
        <v>253.91314703982096</v>
      </c>
      <c r="E53" s="11">
        <v>509.49838741972155</v>
      </c>
      <c r="F53" s="11">
        <v>371.12394828094381</v>
      </c>
      <c r="G53" s="11">
        <v>497.63575090334149</v>
      </c>
      <c r="H53" s="11">
        <v>416.66446068742812</v>
      </c>
    </row>
    <row r="54" spans="1:8" x14ac:dyDescent="0.2">
      <c r="A54" s="8">
        <v>0.4226273148148148</v>
      </c>
      <c r="B54" s="11">
        <v>378.48165323061494</v>
      </c>
      <c r="C54" s="11">
        <v>406.01721027985155</v>
      </c>
      <c r="D54" s="11">
        <v>275.21057591782954</v>
      </c>
      <c r="E54" s="11">
        <v>476.43172203308876</v>
      </c>
      <c r="F54" s="11">
        <v>372.81471722317434</v>
      </c>
      <c r="G54" s="11">
        <v>547.20632557835052</v>
      </c>
      <c r="H54" s="11">
        <v>444.78196417484889</v>
      </c>
    </row>
    <row r="55" spans="1:8" x14ac:dyDescent="0.2">
      <c r="A55" s="8">
        <v>0.4226388888888889</v>
      </c>
      <c r="B55" s="11">
        <v>376.8287496367156</v>
      </c>
      <c r="C55" s="11">
        <v>429.57453388207648</v>
      </c>
      <c r="D55" s="11">
        <v>286.28063709269003</v>
      </c>
      <c r="E55" s="11">
        <v>508.2780780145244</v>
      </c>
      <c r="F55" s="11">
        <v>380.18349861447228</v>
      </c>
      <c r="G55" s="11">
        <v>587.75590568533482</v>
      </c>
      <c r="H55" s="11">
        <v>526.12396753006669</v>
      </c>
    </row>
    <row r="56" spans="1:8" x14ac:dyDescent="0.2">
      <c r="A56" s="8">
        <v>0.42265046296296294</v>
      </c>
      <c r="B56" s="11">
        <v>345.01586596180618</v>
      </c>
      <c r="C56" s="11">
        <v>421.22512078660094</v>
      </c>
      <c r="D56" s="11">
        <v>275.34362428400556</v>
      </c>
      <c r="E56" s="11">
        <v>493.55430373669515</v>
      </c>
      <c r="F56" s="11">
        <v>364.71849368626255</v>
      </c>
      <c r="G56" s="11">
        <v>527.66246585239298</v>
      </c>
      <c r="H56" s="11">
        <v>536.20951880724976</v>
      </c>
    </row>
    <row r="57" spans="1:8" x14ac:dyDescent="0.2">
      <c r="A57" s="8">
        <v>0.42266203703703703</v>
      </c>
      <c r="B57" s="11">
        <v>373.72168790187044</v>
      </c>
      <c r="C57" s="11" t="s">
        <v>161</v>
      </c>
      <c r="D57" s="11" t="s">
        <v>161</v>
      </c>
      <c r="E57" s="11" t="s">
        <v>161</v>
      </c>
      <c r="F57" s="11" t="s">
        <v>161</v>
      </c>
      <c r="G57" s="11" t="s">
        <v>161</v>
      </c>
      <c r="H57" s="11" t="s">
        <v>161</v>
      </c>
    </row>
    <row r="58" spans="1:8" x14ac:dyDescent="0.2">
      <c r="A58" s="8">
        <v>0.42267361111111112</v>
      </c>
      <c r="B58" s="11">
        <v>378.47411148257868</v>
      </c>
      <c r="C58" s="11">
        <v>403.67086151432255</v>
      </c>
      <c r="D58" s="11">
        <v>253.30948227578213</v>
      </c>
      <c r="E58" s="11">
        <v>499.55576685090682</v>
      </c>
      <c r="F58" s="11">
        <v>365.74514955269473</v>
      </c>
      <c r="G58" s="11">
        <v>550.74633058857262</v>
      </c>
      <c r="H58" s="11">
        <v>485.38875384932584</v>
      </c>
    </row>
    <row r="59" spans="1:8" x14ac:dyDescent="0.2">
      <c r="A59" s="8">
        <v>0.42269675925925926</v>
      </c>
      <c r="B59" s="11">
        <v>377.25139797359367</v>
      </c>
      <c r="C59" s="11">
        <v>406.47212561610115</v>
      </c>
      <c r="D59" s="11">
        <v>252.93969026409118</v>
      </c>
      <c r="E59" s="11">
        <v>508.69155395705207</v>
      </c>
      <c r="F59" s="11">
        <v>364.13576812166326</v>
      </c>
      <c r="G59" s="11">
        <v>550.92741941776251</v>
      </c>
      <c r="H59" s="11">
        <v>481.9805903006478</v>
      </c>
    </row>
    <row r="60" spans="1:8" x14ac:dyDescent="0.2">
      <c r="A60" s="8">
        <v>0.42270833333333335</v>
      </c>
      <c r="B60" s="11">
        <v>378.0539437701625</v>
      </c>
      <c r="C60" s="11">
        <v>408.30336552197667</v>
      </c>
      <c r="D60" s="11">
        <v>254.10061678468435</v>
      </c>
      <c r="E60" s="11">
        <v>502.47000413651807</v>
      </c>
      <c r="F60" s="11">
        <v>365.66051026970678</v>
      </c>
      <c r="G60" s="11">
        <v>553.15885561554649</v>
      </c>
      <c r="H60" s="11">
        <v>482.90331921784991</v>
      </c>
    </row>
    <row r="61" spans="1:8" x14ac:dyDescent="0.2">
      <c r="A61" s="8">
        <v>0.42271990740740739</v>
      </c>
      <c r="B61" s="11" t="s">
        <v>161</v>
      </c>
      <c r="C61" s="11" t="s">
        <v>161</v>
      </c>
      <c r="D61" s="11" t="s">
        <v>161</v>
      </c>
      <c r="E61" s="11" t="s">
        <v>161</v>
      </c>
      <c r="F61" s="11" t="s">
        <v>161</v>
      </c>
      <c r="G61" s="11" t="s">
        <v>161</v>
      </c>
      <c r="H61" s="11">
        <v>507.27630414065561</v>
      </c>
    </row>
    <row r="62" spans="1:8" x14ac:dyDescent="0.2">
      <c r="A62" s="8">
        <v>0.42273148148148149</v>
      </c>
      <c r="B62" s="11" t="s">
        <v>161</v>
      </c>
      <c r="C62" s="11" t="s">
        <v>161</v>
      </c>
      <c r="D62" s="11" t="s">
        <v>161</v>
      </c>
      <c r="E62" s="11" t="s">
        <v>161</v>
      </c>
      <c r="F62" s="11" t="s">
        <v>161</v>
      </c>
      <c r="G62" s="11" t="s">
        <v>161</v>
      </c>
      <c r="H62" s="11">
        <v>534.34441293968553</v>
      </c>
    </row>
    <row r="63" spans="1:8" x14ac:dyDescent="0.2">
      <c r="A63" s="8">
        <v>0.42275462962962962</v>
      </c>
      <c r="B63" s="11">
        <v>373.97146733058378</v>
      </c>
      <c r="C63" s="11">
        <v>396.49210329166715</v>
      </c>
      <c r="D63" s="11">
        <v>255.60551816236514</v>
      </c>
      <c r="E63" s="11">
        <v>502.17651621437392</v>
      </c>
      <c r="F63" s="11">
        <v>365.18030153980334</v>
      </c>
      <c r="G63" s="11">
        <v>546.1211813332402</v>
      </c>
      <c r="H63" s="11">
        <v>485.90388838809514</v>
      </c>
    </row>
    <row r="64" spans="1:8" x14ac:dyDescent="0.2">
      <c r="A64" s="8">
        <v>0.42276620370370371</v>
      </c>
      <c r="B64" s="11">
        <v>381.20027455784412</v>
      </c>
      <c r="C64" s="11">
        <v>403.22061105383688</v>
      </c>
      <c r="D64" s="11">
        <v>268.05994118924264</v>
      </c>
      <c r="E64" s="11">
        <v>510.95261816666914</v>
      </c>
      <c r="F64" s="11" t="s">
        <v>161</v>
      </c>
      <c r="G64" s="11">
        <v>551.85635820219375</v>
      </c>
      <c r="H64" s="11" t="s">
        <v>161</v>
      </c>
    </row>
    <row r="65" spans="1:8" x14ac:dyDescent="0.2">
      <c r="A65" s="8">
        <v>0.42277777777777775</v>
      </c>
      <c r="B65" s="11">
        <v>382.24018544447648</v>
      </c>
      <c r="C65" s="11">
        <v>404.02724952907545</v>
      </c>
      <c r="D65" s="11">
        <v>273.36109499504391</v>
      </c>
      <c r="E65" s="11">
        <v>502.79133084843875</v>
      </c>
      <c r="F65" s="11" t="s">
        <v>161</v>
      </c>
      <c r="G65" s="11">
        <v>536.31260852306195</v>
      </c>
      <c r="H65" s="11" t="s">
        <v>161</v>
      </c>
    </row>
    <row r="66" spans="1:8" x14ac:dyDescent="0.2">
      <c r="A66" s="8">
        <v>0.42278935185185185</v>
      </c>
      <c r="B66" s="11" t="s">
        <v>161</v>
      </c>
      <c r="C66" s="11">
        <v>434.32222357186555</v>
      </c>
      <c r="D66" s="11" t="s">
        <v>161</v>
      </c>
      <c r="E66" s="11" t="s">
        <v>161</v>
      </c>
      <c r="F66" s="11" t="s">
        <v>161</v>
      </c>
      <c r="G66" s="11" t="s">
        <v>161</v>
      </c>
      <c r="H66" s="11" t="s">
        <v>161</v>
      </c>
    </row>
    <row r="67" spans="1:8" x14ac:dyDescent="0.2">
      <c r="A67" s="8">
        <v>0.42280092592592594</v>
      </c>
      <c r="B67" s="11" t="s">
        <v>161</v>
      </c>
      <c r="C67" s="11">
        <v>410.37903458441417</v>
      </c>
      <c r="D67" s="11" t="s">
        <v>161</v>
      </c>
      <c r="E67" s="11">
        <v>466.42418329123035</v>
      </c>
      <c r="F67" s="11" t="s">
        <v>161</v>
      </c>
      <c r="G67" s="11" t="s">
        <v>161</v>
      </c>
      <c r="H67" s="11" t="s">
        <v>161</v>
      </c>
    </row>
    <row r="68" spans="1:8" x14ac:dyDescent="0.2">
      <c r="A68" s="8">
        <v>0.42281249999999998</v>
      </c>
      <c r="B68" s="11" t="s">
        <v>161</v>
      </c>
      <c r="C68" s="11">
        <v>402.10946629384603</v>
      </c>
      <c r="D68" s="11" t="s">
        <v>161</v>
      </c>
      <c r="E68" s="11">
        <v>442.37819079847804</v>
      </c>
      <c r="F68" s="11" t="s">
        <v>161</v>
      </c>
      <c r="G68" s="11" t="s">
        <v>161</v>
      </c>
      <c r="H68" s="11" t="s">
        <v>161</v>
      </c>
    </row>
    <row r="69" spans="1:8" x14ac:dyDescent="0.2">
      <c r="A69" s="8">
        <v>0.42282407407407407</v>
      </c>
      <c r="B69" s="11" t="s">
        <v>161</v>
      </c>
      <c r="C69" s="11">
        <v>386.6238806494859</v>
      </c>
      <c r="D69" s="11" t="s">
        <v>161</v>
      </c>
      <c r="E69" s="11">
        <v>447.28915783651667</v>
      </c>
      <c r="F69" s="11" t="s">
        <v>161</v>
      </c>
      <c r="G69" s="11" t="s">
        <v>161</v>
      </c>
      <c r="H69" s="11" t="s">
        <v>161</v>
      </c>
    </row>
    <row r="70" spans="1:8" x14ac:dyDescent="0.2">
      <c r="A70" s="8">
        <v>0.42283564814814817</v>
      </c>
      <c r="B70" s="11">
        <v>330.63830688633368</v>
      </c>
      <c r="C70" s="11">
        <v>369.38593342085471</v>
      </c>
      <c r="D70" s="11" t="s">
        <v>161</v>
      </c>
      <c r="E70" s="11">
        <v>458.00184477098139</v>
      </c>
      <c r="F70" s="11" t="s">
        <v>161</v>
      </c>
      <c r="G70" s="11" t="s">
        <v>161</v>
      </c>
      <c r="H70" s="11" t="s">
        <v>161</v>
      </c>
    </row>
    <row r="71" spans="1:8" x14ac:dyDescent="0.2">
      <c r="A71" s="8">
        <v>0.42284722222222221</v>
      </c>
      <c r="B71" s="11">
        <v>346.35788615321758</v>
      </c>
      <c r="C71" s="11">
        <v>368.97553831893333</v>
      </c>
      <c r="D71" s="11" t="s">
        <v>161</v>
      </c>
      <c r="E71" s="11">
        <v>443.57761621691191</v>
      </c>
      <c r="F71" s="11" t="s">
        <v>161</v>
      </c>
      <c r="G71" s="11" t="s">
        <v>161</v>
      </c>
      <c r="H71" s="11" t="s">
        <v>161</v>
      </c>
    </row>
    <row r="72" spans="1:8" x14ac:dyDescent="0.2">
      <c r="A72" s="8">
        <v>0.4228587962962963</v>
      </c>
      <c r="B72" s="11" t="s">
        <v>161</v>
      </c>
      <c r="C72" s="11">
        <v>434.08119869526899</v>
      </c>
      <c r="D72" s="11" t="s">
        <v>161</v>
      </c>
      <c r="E72" s="11" t="s">
        <v>161</v>
      </c>
      <c r="F72" s="11" t="s">
        <v>161</v>
      </c>
      <c r="G72" s="11" t="s">
        <v>161</v>
      </c>
      <c r="H72" s="11" t="s">
        <v>161</v>
      </c>
    </row>
    <row r="73" spans="1:8" x14ac:dyDescent="0.2">
      <c r="A73" s="8">
        <v>0.42289351851851853</v>
      </c>
      <c r="B73" s="11" t="s">
        <v>161</v>
      </c>
      <c r="C73" s="11">
        <v>438.19081735079328</v>
      </c>
      <c r="D73" s="11" t="s">
        <v>161</v>
      </c>
      <c r="E73" s="11" t="s">
        <v>161</v>
      </c>
      <c r="F73" s="11" t="s">
        <v>161</v>
      </c>
      <c r="G73" s="11" t="s">
        <v>161</v>
      </c>
      <c r="H73" s="11" t="s">
        <v>161</v>
      </c>
    </row>
    <row r="74" spans="1:8" x14ac:dyDescent="0.2">
      <c r="A74" s="8">
        <v>0.42295138888888889</v>
      </c>
      <c r="B74" s="11" t="s">
        <v>161</v>
      </c>
      <c r="C74" s="11">
        <v>375.79127711364657</v>
      </c>
      <c r="D74" s="11" t="s">
        <v>161</v>
      </c>
      <c r="E74" s="11" t="s">
        <v>161</v>
      </c>
      <c r="F74" s="11" t="s">
        <v>161</v>
      </c>
      <c r="G74" s="11" t="s">
        <v>161</v>
      </c>
      <c r="H74" s="11" t="s">
        <v>161</v>
      </c>
    </row>
    <row r="75" spans="1:8" x14ac:dyDescent="0.2">
      <c r="A75" s="8">
        <v>0.42296296296296299</v>
      </c>
      <c r="B75" s="11" t="s">
        <v>161</v>
      </c>
      <c r="C75" s="11">
        <v>395.57411929165784</v>
      </c>
      <c r="D75" s="11" t="s">
        <v>161</v>
      </c>
      <c r="E75" s="11" t="s">
        <v>161</v>
      </c>
      <c r="F75" s="11" t="s">
        <v>161</v>
      </c>
      <c r="G75" s="11" t="s">
        <v>161</v>
      </c>
      <c r="H75" s="11">
        <v>530.20009958283379</v>
      </c>
    </row>
    <row r="76" spans="1:8" x14ac:dyDescent="0.2">
      <c r="A76" s="8">
        <v>0.42297453703703702</v>
      </c>
      <c r="B76" s="11" t="s">
        <v>161</v>
      </c>
      <c r="C76" s="11">
        <v>386.66135922663881</v>
      </c>
      <c r="D76" s="11" t="s">
        <v>161</v>
      </c>
      <c r="E76" s="11" t="s">
        <v>161</v>
      </c>
      <c r="F76" s="11" t="s">
        <v>161</v>
      </c>
      <c r="G76" s="11" t="s">
        <v>161</v>
      </c>
      <c r="H76" s="11">
        <v>498.96541284965997</v>
      </c>
    </row>
    <row r="77" spans="1:8" x14ac:dyDescent="0.2">
      <c r="A77" s="8">
        <v>0.42298611111111112</v>
      </c>
      <c r="B77" s="11" t="s">
        <v>161</v>
      </c>
      <c r="C77" s="11">
        <v>374.07936748586951</v>
      </c>
      <c r="D77" s="11" t="s">
        <v>161</v>
      </c>
      <c r="E77" s="11" t="s">
        <v>161</v>
      </c>
      <c r="F77" s="11" t="s">
        <v>161</v>
      </c>
      <c r="G77" s="11" t="s">
        <v>161</v>
      </c>
      <c r="H77" s="11" t="s">
        <v>161</v>
      </c>
    </row>
    <row r="78" spans="1:8" x14ac:dyDescent="0.2">
      <c r="A78" s="8">
        <v>0.4241550925925926</v>
      </c>
      <c r="B78" s="11" t="s">
        <v>161</v>
      </c>
      <c r="C78" s="11">
        <v>377.71247273845898</v>
      </c>
      <c r="D78" s="11" t="s">
        <v>161</v>
      </c>
      <c r="E78" s="11" t="s">
        <v>161</v>
      </c>
      <c r="F78" s="11" t="s">
        <v>161</v>
      </c>
      <c r="G78" s="11" t="s">
        <v>161</v>
      </c>
      <c r="H78" s="11">
        <v>414.64990233548832</v>
      </c>
    </row>
    <row r="79" spans="1:8" x14ac:dyDescent="0.2">
      <c r="A79" s="8">
        <v>0.42416666666666669</v>
      </c>
      <c r="B79" s="11" t="s">
        <v>161</v>
      </c>
      <c r="C79" s="11">
        <v>361.18607057782236</v>
      </c>
      <c r="D79" s="11" t="s">
        <v>161</v>
      </c>
      <c r="E79" s="11" t="s">
        <v>161</v>
      </c>
      <c r="F79" s="11" t="s">
        <v>161</v>
      </c>
      <c r="G79" s="11">
        <v>372.82789197961927</v>
      </c>
      <c r="H79" s="11">
        <v>402.79034010500027</v>
      </c>
    </row>
    <row r="80" spans="1:8" x14ac:dyDescent="0.2">
      <c r="A80" s="8">
        <v>0.42417824074074073</v>
      </c>
      <c r="B80" s="11" t="s">
        <v>161</v>
      </c>
      <c r="C80" s="11">
        <v>367.52629616083317</v>
      </c>
      <c r="D80" s="11" t="s">
        <v>161</v>
      </c>
      <c r="E80" s="11" t="s">
        <v>161</v>
      </c>
      <c r="F80" s="11" t="s">
        <v>161</v>
      </c>
      <c r="G80" s="11" t="s">
        <v>161</v>
      </c>
      <c r="H80" s="11">
        <v>377.90513032845001</v>
      </c>
    </row>
    <row r="81" spans="1:8" x14ac:dyDescent="0.2">
      <c r="A81" s="8">
        <v>0.42423611111111109</v>
      </c>
      <c r="B81" s="11">
        <v>396.53429518342352</v>
      </c>
      <c r="C81" s="11">
        <v>388.16645573769642</v>
      </c>
      <c r="D81" s="11" t="s">
        <v>161</v>
      </c>
      <c r="E81" s="11" t="s">
        <v>161</v>
      </c>
      <c r="F81" s="11" t="s">
        <v>161</v>
      </c>
      <c r="G81" s="11" t="s">
        <v>161</v>
      </c>
      <c r="H81" s="11" t="s">
        <v>161</v>
      </c>
    </row>
    <row r="82" spans="1:8" x14ac:dyDescent="0.2">
      <c r="A82" s="8">
        <v>0.42424768518518519</v>
      </c>
      <c r="B82" s="11">
        <v>372.30167481823275</v>
      </c>
      <c r="C82" s="11">
        <v>367.41682178558881</v>
      </c>
      <c r="D82" s="11" t="s">
        <v>161</v>
      </c>
      <c r="E82" s="11" t="s">
        <v>161</v>
      </c>
      <c r="F82" s="11">
        <v>345.76372775847608</v>
      </c>
      <c r="G82" s="11" t="s">
        <v>161</v>
      </c>
      <c r="H82" s="11">
        <v>434.63606292066834</v>
      </c>
    </row>
    <row r="83" spans="1:8" x14ac:dyDescent="0.2">
      <c r="A83" s="8">
        <v>0.42425925925925928</v>
      </c>
      <c r="B83" s="11">
        <v>328.5615976459199</v>
      </c>
      <c r="C83" s="11">
        <v>371.10163943540368</v>
      </c>
      <c r="D83" s="11" t="s">
        <v>161</v>
      </c>
      <c r="E83" s="11" t="s">
        <v>161</v>
      </c>
      <c r="F83" s="11">
        <v>379.83007257059722</v>
      </c>
      <c r="G83" s="11" t="s">
        <v>161</v>
      </c>
      <c r="H83" s="11">
        <v>444.58901263746424</v>
      </c>
    </row>
    <row r="84" spans="1:8" x14ac:dyDescent="0.2">
      <c r="A84" s="8">
        <v>0.42427083333333332</v>
      </c>
      <c r="B84" s="11">
        <v>318.07617756645726</v>
      </c>
      <c r="C84" s="11">
        <v>370.82368243608624</v>
      </c>
      <c r="D84" s="11" t="s">
        <v>161</v>
      </c>
      <c r="E84" s="11" t="s">
        <v>161</v>
      </c>
      <c r="F84" s="11">
        <v>402.06497199449296</v>
      </c>
      <c r="G84" s="11" t="s">
        <v>161</v>
      </c>
      <c r="H84" s="11">
        <v>450.7215790353207</v>
      </c>
    </row>
    <row r="85" spans="1:8" x14ac:dyDescent="0.2">
      <c r="A85" s="8">
        <v>0.42428240740740741</v>
      </c>
      <c r="B85" s="11">
        <v>305.22987245838931</v>
      </c>
      <c r="C85" s="11">
        <v>365.77318494941181</v>
      </c>
      <c r="D85" s="11" t="s">
        <v>161</v>
      </c>
      <c r="E85" s="11" t="s">
        <v>161</v>
      </c>
      <c r="F85" s="11">
        <v>381.90278552963565</v>
      </c>
      <c r="G85" s="11">
        <v>294.24304958367333</v>
      </c>
      <c r="H85" s="11">
        <v>454.9277262165258</v>
      </c>
    </row>
    <row r="86" spans="1:8" x14ac:dyDescent="0.2">
      <c r="A86" s="8">
        <v>0.42429398148148151</v>
      </c>
      <c r="B86" s="11">
        <v>309.3814704128211</v>
      </c>
      <c r="C86" s="11">
        <v>353.31984923819743</v>
      </c>
      <c r="D86" s="11" t="s">
        <v>161</v>
      </c>
      <c r="E86" s="11" t="s">
        <v>161</v>
      </c>
      <c r="F86" s="11">
        <v>399.03322111541121</v>
      </c>
      <c r="G86" s="11">
        <v>312.16815159607353</v>
      </c>
      <c r="H86" s="11">
        <v>457.14635106777013</v>
      </c>
    </row>
    <row r="87" spans="1:8" x14ac:dyDescent="0.2">
      <c r="A87" s="8">
        <v>0.42430555555555555</v>
      </c>
      <c r="B87" s="11" t="s">
        <v>161</v>
      </c>
      <c r="C87" s="11">
        <v>354.08819214409158</v>
      </c>
      <c r="D87" s="11" t="s">
        <v>161</v>
      </c>
      <c r="E87" s="11" t="s">
        <v>161</v>
      </c>
      <c r="F87" s="11">
        <v>397.34773996742655</v>
      </c>
      <c r="G87" s="11" t="s">
        <v>161</v>
      </c>
      <c r="H87" s="11">
        <v>457.04614059701629</v>
      </c>
    </row>
    <row r="88" spans="1:8" x14ac:dyDescent="0.2">
      <c r="A88" s="8">
        <v>0.42431712962962964</v>
      </c>
      <c r="B88" s="11">
        <v>362.82763340332895</v>
      </c>
      <c r="C88" s="11">
        <v>356.01050382957817</v>
      </c>
      <c r="D88" s="11" t="s">
        <v>161</v>
      </c>
      <c r="E88" s="11" t="s">
        <v>161</v>
      </c>
      <c r="F88" s="11">
        <v>373.64610738410482</v>
      </c>
      <c r="G88" s="11">
        <v>285.83447607016859</v>
      </c>
      <c r="H88" s="11">
        <v>462.81418483886478</v>
      </c>
    </row>
    <row r="89" spans="1:8" x14ac:dyDescent="0.2">
      <c r="A89" s="8">
        <v>0.42432870370370368</v>
      </c>
      <c r="B89" s="11">
        <v>385.16142007236346</v>
      </c>
      <c r="C89" s="11">
        <v>350.62723273262213</v>
      </c>
      <c r="D89" s="11" t="s">
        <v>161</v>
      </c>
      <c r="E89" s="11" t="s">
        <v>161</v>
      </c>
      <c r="F89" s="11" t="s">
        <v>161</v>
      </c>
      <c r="G89" s="11" t="s">
        <v>161</v>
      </c>
      <c r="H89" s="11" t="s">
        <v>161</v>
      </c>
    </row>
    <row r="90" spans="1:8" x14ac:dyDescent="0.2">
      <c r="A90" s="8">
        <v>0.42434027777777777</v>
      </c>
      <c r="B90" s="11">
        <v>369.29812042033376</v>
      </c>
      <c r="C90" s="11">
        <v>339.97124142617463</v>
      </c>
      <c r="D90" s="11" t="s">
        <v>161</v>
      </c>
      <c r="E90" s="11">
        <v>324.96901116481547</v>
      </c>
      <c r="F90" s="11" t="s">
        <v>161</v>
      </c>
      <c r="G90" s="11">
        <v>337.90227605447217</v>
      </c>
      <c r="H90" s="11" t="s">
        <v>161</v>
      </c>
    </row>
    <row r="91" spans="1:8" x14ac:dyDescent="0.2">
      <c r="A91" s="8">
        <v>0.42435185185185187</v>
      </c>
      <c r="B91" s="11">
        <v>363.77626582015262</v>
      </c>
      <c r="C91" s="11">
        <v>332.32006516395415</v>
      </c>
      <c r="D91" s="11" t="s">
        <v>161</v>
      </c>
      <c r="E91" s="11">
        <v>326.80690874499322</v>
      </c>
      <c r="F91" s="11" t="s">
        <v>161</v>
      </c>
      <c r="G91" s="11" t="s">
        <v>161</v>
      </c>
      <c r="H91" s="11" t="s">
        <v>161</v>
      </c>
    </row>
    <row r="92" spans="1:8" x14ac:dyDescent="0.2">
      <c r="A92" s="8">
        <v>0.42436342592592591</v>
      </c>
      <c r="B92" s="11" t="s">
        <v>161</v>
      </c>
      <c r="C92" s="11">
        <v>363.2047081353312</v>
      </c>
      <c r="D92" s="11" t="s">
        <v>161</v>
      </c>
      <c r="E92" s="11" t="s">
        <v>161</v>
      </c>
      <c r="F92" s="11" t="s">
        <v>161</v>
      </c>
      <c r="G92" s="11" t="s">
        <v>161</v>
      </c>
      <c r="H92" s="11" t="s">
        <v>161</v>
      </c>
    </row>
    <row r="93" spans="1:8" x14ac:dyDescent="0.2">
      <c r="A93" s="8">
        <v>0.42439814814814814</v>
      </c>
      <c r="B93" s="11" t="s">
        <v>161</v>
      </c>
      <c r="C93" s="11" t="s">
        <v>161</v>
      </c>
      <c r="D93" s="11" t="s">
        <v>161</v>
      </c>
      <c r="E93" s="11" t="s">
        <v>161</v>
      </c>
      <c r="F93" s="11" t="s">
        <v>161</v>
      </c>
      <c r="G93" s="11">
        <v>415.21751877893155</v>
      </c>
      <c r="H93" s="11" t="s">
        <v>161</v>
      </c>
    </row>
    <row r="94" spans="1:8" x14ac:dyDescent="0.2">
      <c r="A94" s="8">
        <v>0.42440972222222223</v>
      </c>
      <c r="B94" s="11" t="s">
        <v>161</v>
      </c>
      <c r="C94" s="11">
        <v>394.69702198503609</v>
      </c>
      <c r="D94" s="11" t="s">
        <v>161</v>
      </c>
      <c r="E94" s="11" t="s">
        <v>161</v>
      </c>
      <c r="F94" s="11" t="s">
        <v>161</v>
      </c>
      <c r="G94" s="11" t="s">
        <v>161</v>
      </c>
      <c r="H94" s="11" t="s">
        <v>161</v>
      </c>
    </row>
    <row r="95" spans="1:8" x14ac:dyDescent="0.2">
      <c r="A95" s="8">
        <v>0.42443287037037036</v>
      </c>
      <c r="B95" s="11">
        <v>362.56281144800084</v>
      </c>
      <c r="C95" s="11">
        <v>379.89895762649155</v>
      </c>
      <c r="D95" s="11" t="s">
        <v>161</v>
      </c>
      <c r="E95" s="11" t="s">
        <v>161</v>
      </c>
      <c r="F95" s="11" t="s">
        <v>161</v>
      </c>
      <c r="G95" s="11" t="s">
        <v>161</v>
      </c>
      <c r="H95" s="11" t="s">
        <v>161</v>
      </c>
    </row>
    <row r="96" spans="1:8" x14ac:dyDescent="0.2">
      <c r="A96" s="8">
        <v>0.42444444444444446</v>
      </c>
      <c r="B96" s="11">
        <v>372.95266748549062</v>
      </c>
      <c r="C96" s="11">
        <v>370.37753586653486</v>
      </c>
      <c r="D96" s="11" t="s">
        <v>161</v>
      </c>
      <c r="E96" s="11" t="s">
        <v>161</v>
      </c>
      <c r="F96" s="11" t="s">
        <v>161</v>
      </c>
      <c r="G96" s="11" t="s">
        <v>161</v>
      </c>
      <c r="H96" s="11" t="s">
        <v>161</v>
      </c>
    </row>
    <row r="97" spans="1:8" x14ac:dyDescent="0.2">
      <c r="A97" s="8">
        <v>0.4244560185185185</v>
      </c>
      <c r="B97" s="11">
        <v>367.14851436566232</v>
      </c>
      <c r="C97" s="11">
        <v>361.78466225048169</v>
      </c>
      <c r="D97" s="11" t="s">
        <v>161</v>
      </c>
      <c r="E97" s="11" t="s">
        <v>161</v>
      </c>
      <c r="F97" s="11" t="s">
        <v>161</v>
      </c>
      <c r="G97" s="11" t="s">
        <v>161</v>
      </c>
      <c r="H97" s="11" t="s">
        <v>161</v>
      </c>
    </row>
    <row r="98" spans="1:8" x14ac:dyDescent="0.2">
      <c r="A98" s="8">
        <v>0.42446759259259259</v>
      </c>
      <c r="B98" s="11">
        <v>371.07777666633268</v>
      </c>
      <c r="C98" s="11">
        <v>349.63443621248291</v>
      </c>
      <c r="D98" s="11" t="s">
        <v>161</v>
      </c>
      <c r="E98" s="11">
        <v>323.11541420267804</v>
      </c>
      <c r="F98" s="11">
        <v>245.88095537337782</v>
      </c>
      <c r="G98" s="11" t="s">
        <v>161</v>
      </c>
      <c r="H98" s="11" t="s">
        <v>161</v>
      </c>
    </row>
    <row r="99" spans="1:8" x14ac:dyDescent="0.2">
      <c r="A99" s="8">
        <v>0.4255902777777778</v>
      </c>
      <c r="B99" s="11" t="s">
        <v>161</v>
      </c>
      <c r="C99" s="11">
        <v>297.19657160463834</v>
      </c>
      <c r="D99" s="11" t="s">
        <v>161</v>
      </c>
      <c r="E99" s="11" t="s">
        <v>161</v>
      </c>
      <c r="F99" s="11" t="s">
        <v>161</v>
      </c>
      <c r="G99" s="11" t="s">
        <v>161</v>
      </c>
      <c r="H99" s="11" t="s">
        <v>161</v>
      </c>
    </row>
    <row r="100" spans="1:8" x14ac:dyDescent="0.2">
      <c r="A100" s="8">
        <v>0.42560185185185184</v>
      </c>
      <c r="B100" s="11" t="s">
        <v>161</v>
      </c>
      <c r="C100" s="11">
        <v>317.16018846038185</v>
      </c>
      <c r="D100" s="11" t="s">
        <v>161</v>
      </c>
      <c r="E100" s="11" t="s">
        <v>161</v>
      </c>
      <c r="F100" s="11">
        <v>358.37400425901217</v>
      </c>
      <c r="G100" s="11">
        <v>446.03605280388916</v>
      </c>
      <c r="H100" s="11" t="s">
        <v>161</v>
      </c>
    </row>
    <row r="101" spans="1:8" x14ac:dyDescent="0.2">
      <c r="A101" s="8">
        <v>0.42561342592592594</v>
      </c>
      <c r="B101" s="11" t="s">
        <v>161</v>
      </c>
      <c r="C101" s="11">
        <v>318.57896432804529</v>
      </c>
      <c r="D101" s="11" t="s">
        <v>161</v>
      </c>
      <c r="E101" s="11" t="s">
        <v>161</v>
      </c>
      <c r="F101" s="11" t="s">
        <v>161</v>
      </c>
      <c r="G101" s="11" t="s">
        <v>161</v>
      </c>
      <c r="H101" s="11" t="s">
        <v>161</v>
      </c>
    </row>
    <row r="102" spans="1:8" x14ac:dyDescent="0.2">
      <c r="A102" s="8">
        <v>0.4256597222222222</v>
      </c>
      <c r="B102" s="11">
        <v>261.76339554020353</v>
      </c>
      <c r="C102" s="11">
        <v>258.62550153057168</v>
      </c>
      <c r="D102" s="11" t="s">
        <v>161</v>
      </c>
      <c r="E102" s="11" t="s">
        <v>161</v>
      </c>
      <c r="F102" s="11">
        <v>316.26571048650919</v>
      </c>
      <c r="G102" s="11" t="s">
        <v>161</v>
      </c>
      <c r="H102" s="11">
        <v>369.57851402625232</v>
      </c>
    </row>
    <row r="103" spans="1:8" x14ac:dyDescent="0.2">
      <c r="A103" s="8">
        <v>0.4256712962962963</v>
      </c>
      <c r="B103" s="11" t="s">
        <v>161</v>
      </c>
      <c r="C103" s="11">
        <v>246.40619099113246</v>
      </c>
      <c r="D103" s="11" t="s">
        <v>161</v>
      </c>
      <c r="E103" s="11" t="s">
        <v>161</v>
      </c>
      <c r="F103" s="11" t="s">
        <v>161</v>
      </c>
      <c r="G103" s="11" t="s">
        <v>161</v>
      </c>
      <c r="H103" s="11" t="s">
        <v>161</v>
      </c>
    </row>
    <row r="104" spans="1:8" x14ac:dyDescent="0.2">
      <c r="A104" s="8">
        <v>0.42568287037037039</v>
      </c>
      <c r="B104" s="11">
        <v>286.51753699464211</v>
      </c>
      <c r="C104" s="11">
        <v>252.3434812188151</v>
      </c>
      <c r="D104" s="11" t="s">
        <v>161</v>
      </c>
      <c r="E104" s="11" t="s">
        <v>161</v>
      </c>
      <c r="F104" s="11" t="s">
        <v>161</v>
      </c>
      <c r="G104" s="11" t="s">
        <v>161</v>
      </c>
      <c r="H104" s="11" t="s">
        <v>161</v>
      </c>
    </row>
    <row r="105" spans="1:8" x14ac:dyDescent="0.2">
      <c r="A105" s="8">
        <v>0.42570601851851853</v>
      </c>
      <c r="B105" s="11" t="s">
        <v>161</v>
      </c>
      <c r="C105" s="11">
        <v>357.23719409771638</v>
      </c>
      <c r="D105" s="11" t="s">
        <v>161</v>
      </c>
      <c r="E105" s="11" t="s">
        <v>161</v>
      </c>
      <c r="F105" s="11" t="s">
        <v>161</v>
      </c>
      <c r="G105" s="11" t="s">
        <v>161</v>
      </c>
      <c r="H105" s="11">
        <v>419.96978848014675</v>
      </c>
    </row>
    <row r="106" spans="1:8" x14ac:dyDescent="0.2">
      <c r="A106" s="8">
        <v>0.42571759259259262</v>
      </c>
      <c r="B106" s="11">
        <v>302.25850275833091</v>
      </c>
      <c r="C106" s="11">
        <v>361.77044526082153</v>
      </c>
      <c r="D106" s="11">
        <v>185.40232692376279</v>
      </c>
      <c r="E106" s="11">
        <v>406.37243854636489</v>
      </c>
      <c r="F106" s="11">
        <v>334.50799257767653</v>
      </c>
      <c r="G106" s="11">
        <v>473.27282287883565</v>
      </c>
      <c r="H106" s="11">
        <v>464.76241023227016</v>
      </c>
    </row>
    <row r="107" spans="1:8" x14ac:dyDescent="0.2">
      <c r="A107" s="8">
        <v>0.42572916666666666</v>
      </c>
      <c r="B107" s="11">
        <v>300.50675525800915</v>
      </c>
      <c r="C107" s="11">
        <v>359.35120657902809</v>
      </c>
      <c r="D107" s="11">
        <v>187.51482053989881</v>
      </c>
      <c r="E107" s="11">
        <v>401.87359771603997</v>
      </c>
      <c r="F107" s="11">
        <v>345.06983214988065</v>
      </c>
      <c r="G107" s="11">
        <v>480.99661998040511</v>
      </c>
      <c r="H107" s="11">
        <v>425.10448380621995</v>
      </c>
    </row>
    <row r="108" spans="1:8" x14ac:dyDescent="0.2">
      <c r="A108" s="8">
        <v>0.42574074074074075</v>
      </c>
      <c r="B108" s="11">
        <v>297.12529034845568</v>
      </c>
      <c r="C108" s="11">
        <v>360.45241234903119</v>
      </c>
      <c r="D108" s="11">
        <v>183.05267472943231</v>
      </c>
      <c r="E108" s="11">
        <v>395.76666515519952</v>
      </c>
      <c r="F108" s="11">
        <v>338.41029892820757</v>
      </c>
      <c r="G108" s="11">
        <v>480.39215469935351</v>
      </c>
      <c r="H108" s="11">
        <v>430.83847162838759</v>
      </c>
    </row>
    <row r="109" spans="1:8" x14ac:dyDescent="0.2">
      <c r="A109" s="8">
        <v>0.42984953703703704</v>
      </c>
      <c r="B109" s="11">
        <v>259.47595818250977</v>
      </c>
      <c r="C109" s="11">
        <v>297.60356152038361</v>
      </c>
      <c r="D109" s="11">
        <v>152.54688508042318</v>
      </c>
      <c r="E109" s="11">
        <v>286.96304675614778</v>
      </c>
      <c r="F109" s="11">
        <v>285.82856917593898</v>
      </c>
      <c r="G109" s="11">
        <v>430.42316864512441</v>
      </c>
      <c r="H109" s="11">
        <v>413.29584468045425</v>
      </c>
    </row>
    <row r="110" spans="1:8" x14ac:dyDescent="0.2">
      <c r="A110" s="8">
        <v>0.42986111111111114</v>
      </c>
      <c r="B110" s="11">
        <v>254.70796336133296</v>
      </c>
      <c r="C110" s="11">
        <v>290.26836467924983</v>
      </c>
      <c r="D110" s="11">
        <v>150.18747052368661</v>
      </c>
      <c r="E110" s="11">
        <v>280.55236501671197</v>
      </c>
      <c r="F110" s="11">
        <v>284.39253397888103</v>
      </c>
      <c r="G110" s="11">
        <v>418.78835690574516</v>
      </c>
      <c r="H110" s="11">
        <v>403.35872578360596</v>
      </c>
    </row>
    <row r="111" spans="1:8" x14ac:dyDescent="0.2">
      <c r="A111" s="8">
        <v>0.42987268518518518</v>
      </c>
      <c r="B111" s="11">
        <v>253.01283209425694</v>
      </c>
      <c r="C111" s="11">
        <v>289.12997014231621</v>
      </c>
      <c r="D111" s="11">
        <v>151.08835580092421</v>
      </c>
      <c r="E111" s="11">
        <v>291.35395992073433</v>
      </c>
      <c r="F111" s="11">
        <v>284.41632558814774</v>
      </c>
      <c r="G111" s="11">
        <v>441.23300233389739</v>
      </c>
      <c r="H111" s="11">
        <v>397.3725692266234</v>
      </c>
    </row>
    <row r="112" spans="1:8" x14ac:dyDescent="0.2">
      <c r="A112" s="8">
        <v>0.42988425925925927</v>
      </c>
      <c r="B112" s="11">
        <v>253.89064451150907</v>
      </c>
      <c r="C112" s="11">
        <v>288.40244538040145</v>
      </c>
      <c r="D112" s="11">
        <v>148.17513729074153</v>
      </c>
      <c r="E112" s="11">
        <v>290.13361695376739</v>
      </c>
      <c r="F112" s="11">
        <v>285.21601842529566</v>
      </c>
      <c r="G112" s="11">
        <v>435.15033339859104</v>
      </c>
      <c r="H112" s="11">
        <v>395.99180136271218</v>
      </c>
    </row>
    <row r="113" spans="1:8" x14ac:dyDescent="0.2">
      <c r="A113" s="8">
        <v>0.42989583333333331</v>
      </c>
      <c r="B113" s="11">
        <v>257.251899753967</v>
      </c>
      <c r="C113" s="11">
        <v>281.52899427830317</v>
      </c>
      <c r="D113" s="11">
        <v>145.74766281194792</v>
      </c>
      <c r="E113" s="11">
        <v>281.73722870119366</v>
      </c>
      <c r="F113" s="11">
        <v>287.5965969178543</v>
      </c>
      <c r="G113" s="11">
        <v>426.22276330979651</v>
      </c>
      <c r="H113" s="11">
        <v>399.19135457173718</v>
      </c>
    </row>
    <row r="114" spans="1:8" x14ac:dyDescent="0.2">
      <c r="A114" s="8">
        <v>0.4299074074074074</v>
      </c>
      <c r="B114" s="11">
        <v>253.54812463349458</v>
      </c>
      <c r="C114" s="11">
        <v>272.55119831873185</v>
      </c>
      <c r="D114" s="11">
        <v>144.24829165638559</v>
      </c>
      <c r="E114" s="11">
        <v>277.99508701373895</v>
      </c>
      <c r="F114" s="11">
        <v>276.68221186886871</v>
      </c>
      <c r="G114" s="11" t="s">
        <v>161</v>
      </c>
      <c r="H114" s="11">
        <v>401.14785740436537</v>
      </c>
    </row>
    <row r="115" spans="1:8" x14ac:dyDescent="0.2">
      <c r="A115" s="8">
        <v>0.4299189814814815</v>
      </c>
      <c r="B115" s="11">
        <v>244.47028429674936</v>
      </c>
      <c r="C115" s="11">
        <v>278.76039475011214</v>
      </c>
      <c r="D115" s="11">
        <v>144.34998607840393</v>
      </c>
      <c r="E115" s="11">
        <v>268.91922063193874</v>
      </c>
      <c r="F115" s="11">
        <v>271.29183191133421</v>
      </c>
      <c r="G115" s="11" t="s">
        <v>161</v>
      </c>
      <c r="H115" s="11">
        <v>393.88564350040173</v>
      </c>
    </row>
    <row r="116" spans="1:8" x14ac:dyDescent="0.2">
      <c r="A116" s="8">
        <v>0.42993055555555554</v>
      </c>
      <c r="B116" s="11">
        <v>256.67258129652299</v>
      </c>
      <c r="C116" s="11">
        <v>285.26112329740124</v>
      </c>
      <c r="D116" s="11">
        <v>145.13208056614286</v>
      </c>
      <c r="E116" s="11">
        <v>281.39958407729762</v>
      </c>
      <c r="F116" s="11">
        <v>288.83310894491569</v>
      </c>
      <c r="G116" s="11">
        <v>419.87214106633428</v>
      </c>
      <c r="H116" s="11">
        <v>391.04327429216403</v>
      </c>
    </row>
    <row r="117" spans="1:8" x14ac:dyDescent="0.2">
      <c r="A117" s="8">
        <v>0.43129629629629629</v>
      </c>
      <c r="B117" s="11">
        <v>279.15580340608983</v>
      </c>
      <c r="C117" s="11">
        <v>313.60762440468858</v>
      </c>
      <c r="D117" s="11">
        <v>194.05042915716263</v>
      </c>
      <c r="E117" s="11">
        <v>314.32342243201242</v>
      </c>
      <c r="F117" s="11">
        <v>334.7571679172496</v>
      </c>
      <c r="G117" s="11">
        <v>499.21155552448772</v>
      </c>
      <c r="H117" s="11">
        <v>418.40919079737938</v>
      </c>
    </row>
    <row r="118" spans="1:8" x14ac:dyDescent="0.2">
      <c r="A118" s="8">
        <v>0.43130787037037038</v>
      </c>
      <c r="B118" s="11">
        <v>277.92225351433905</v>
      </c>
      <c r="C118" s="11">
        <v>314.20918652092149</v>
      </c>
      <c r="D118" s="11">
        <v>194.94122855348701</v>
      </c>
      <c r="E118" s="11">
        <v>314.25220161748422</v>
      </c>
      <c r="F118" s="11">
        <v>336.82241535492813</v>
      </c>
      <c r="G118" s="11">
        <v>502.0181748413687</v>
      </c>
      <c r="H118" s="11">
        <v>426.66999586552288</v>
      </c>
    </row>
    <row r="119" spans="1:8" x14ac:dyDescent="0.2">
      <c r="A119" s="8">
        <v>0.43131944444444442</v>
      </c>
      <c r="B119" s="11">
        <v>277.05165231188761</v>
      </c>
      <c r="C119" s="11">
        <v>313.10759791039465</v>
      </c>
      <c r="D119" s="11">
        <v>193.9191250791805</v>
      </c>
      <c r="E119" s="11">
        <v>306.42158359214977</v>
      </c>
      <c r="F119" s="11">
        <v>335.79874779147269</v>
      </c>
      <c r="G119" s="11" t="s">
        <v>161</v>
      </c>
      <c r="H119" s="11">
        <v>423.00129874451699</v>
      </c>
    </row>
    <row r="120" spans="1:8" x14ac:dyDescent="0.2">
      <c r="A120" s="8">
        <v>0.43133101851851852</v>
      </c>
      <c r="B120" s="11" t="s">
        <v>161</v>
      </c>
      <c r="C120" s="11" t="s">
        <v>161</v>
      </c>
      <c r="D120" s="11">
        <v>172.37190994233652</v>
      </c>
      <c r="E120" s="11" t="s">
        <v>161</v>
      </c>
      <c r="F120" s="11" t="s">
        <v>161</v>
      </c>
      <c r="G120" s="11" t="s">
        <v>161</v>
      </c>
      <c r="H120" s="11">
        <v>431.19137222961893</v>
      </c>
    </row>
    <row r="121" spans="1:8" x14ac:dyDescent="0.2">
      <c r="A121" s="8">
        <v>0.43134259259259261</v>
      </c>
      <c r="B121" s="11" t="s">
        <v>161</v>
      </c>
      <c r="C121" s="11" t="s">
        <v>161</v>
      </c>
      <c r="D121" s="11">
        <v>196.34186661271383</v>
      </c>
      <c r="E121" s="11" t="s">
        <v>161</v>
      </c>
      <c r="F121" s="11">
        <v>324.41911006935169</v>
      </c>
      <c r="G121" s="11" t="s">
        <v>161</v>
      </c>
      <c r="H121" s="11">
        <v>427.25132277952025</v>
      </c>
    </row>
    <row r="122" spans="1:8" x14ac:dyDescent="0.2">
      <c r="A122" s="8">
        <v>0.43135416666666665</v>
      </c>
      <c r="B122" s="11" t="s">
        <v>161</v>
      </c>
      <c r="C122" s="11" t="s">
        <v>161</v>
      </c>
      <c r="D122" s="11" t="s">
        <v>161</v>
      </c>
      <c r="E122" s="11" t="s">
        <v>161</v>
      </c>
      <c r="F122" s="11" t="s">
        <v>161</v>
      </c>
      <c r="G122" s="11" t="s">
        <v>161</v>
      </c>
      <c r="H122" s="11">
        <v>429.96999354969188</v>
      </c>
    </row>
    <row r="123" spans="1:8" x14ac:dyDescent="0.2">
      <c r="A123" s="8">
        <v>0.43137731481481484</v>
      </c>
      <c r="B123" s="11" t="s">
        <v>161</v>
      </c>
      <c r="C123" s="11">
        <v>297.58374321047211</v>
      </c>
      <c r="D123" s="11" t="s">
        <v>161</v>
      </c>
      <c r="E123" s="11" t="s">
        <v>161</v>
      </c>
      <c r="F123" s="11" t="s">
        <v>161</v>
      </c>
      <c r="G123" s="11" t="s">
        <v>161</v>
      </c>
      <c r="H123" s="11" t="s">
        <v>161</v>
      </c>
    </row>
    <row r="124" spans="1:8" x14ac:dyDescent="0.2">
      <c r="A124" s="8">
        <v>0.43275462962962963</v>
      </c>
      <c r="B124" s="11">
        <v>311.12663223063396</v>
      </c>
      <c r="C124" s="11">
        <v>369.55068401657627</v>
      </c>
      <c r="D124" s="11">
        <v>220.77925116727937</v>
      </c>
      <c r="E124" s="11">
        <v>392.64817944302757</v>
      </c>
      <c r="F124" s="11">
        <v>378.22147813343867</v>
      </c>
      <c r="G124" s="11">
        <v>480.33806530600407</v>
      </c>
      <c r="H124" s="11" t="s">
        <v>161</v>
      </c>
    </row>
    <row r="125" spans="1:8" x14ac:dyDescent="0.2">
      <c r="A125" s="8">
        <v>0.43276620370370372</v>
      </c>
      <c r="B125" s="11">
        <v>300.36823981101963</v>
      </c>
      <c r="C125" s="11">
        <v>356.48890486883835</v>
      </c>
      <c r="D125" s="11">
        <v>214.05777617717288</v>
      </c>
      <c r="E125" s="11" t="s">
        <v>161</v>
      </c>
      <c r="F125" s="11" t="s">
        <v>161</v>
      </c>
      <c r="G125" s="11" t="s">
        <v>161</v>
      </c>
      <c r="H125" s="11" t="s">
        <v>161</v>
      </c>
    </row>
    <row r="126" spans="1:8" x14ac:dyDescent="0.2">
      <c r="A126" s="8">
        <v>0.43277777777777776</v>
      </c>
      <c r="B126" s="11">
        <v>275.15495066141267</v>
      </c>
      <c r="C126" s="11">
        <v>375.89721283144291</v>
      </c>
      <c r="D126" s="11">
        <v>212.57133951748173</v>
      </c>
      <c r="E126" s="11">
        <v>401.24458404771769</v>
      </c>
      <c r="F126" s="11">
        <v>397.00363029689112</v>
      </c>
      <c r="G126" s="11">
        <v>504.57841938237448</v>
      </c>
      <c r="H126" s="11">
        <v>336.51118362035731</v>
      </c>
    </row>
    <row r="127" spans="1:8" x14ac:dyDescent="0.2">
      <c r="A127" s="8">
        <v>0.43278935185185186</v>
      </c>
      <c r="B127" s="11">
        <v>282.21553679566881</v>
      </c>
      <c r="C127" s="11">
        <v>374.90592511918442</v>
      </c>
      <c r="D127" s="11">
        <v>211.72628971285363</v>
      </c>
      <c r="E127" s="11">
        <v>397.81874835281127</v>
      </c>
      <c r="F127" s="11" t="s">
        <v>161</v>
      </c>
      <c r="G127" s="11" t="s">
        <v>161</v>
      </c>
      <c r="H127" s="11">
        <v>358.6250561556555</v>
      </c>
    </row>
    <row r="128" spans="1:8" x14ac:dyDescent="0.2">
      <c r="A128" s="8">
        <v>0.43280092592592595</v>
      </c>
      <c r="B128" s="11">
        <v>272.73253672462113</v>
      </c>
      <c r="C128" s="11">
        <v>378.08854563589057</v>
      </c>
      <c r="D128" s="11">
        <v>186.45273393761076</v>
      </c>
      <c r="E128" s="11">
        <v>385.31000920260823</v>
      </c>
      <c r="F128" s="11" t="s">
        <v>161</v>
      </c>
      <c r="G128" s="11" t="s">
        <v>161</v>
      </c>
      <c r="H128" s="11">
        <v>360.97124396655693</v>
      </c>
    </row>
    <row r="129" spans="1:8" x14ac:dyDescent="0.2">
      <c r="A129" s="8">
        <v>0.43281249999999999</v>
      </c>
      <c r="B129" s="11">
        <v>295.50644762865784</v>
      </c>
      <c r="C129" s="11">
        <v>371.47246420595758</v>
      </c>
      <c r="D129" s="11">
        <v>185.55708712066615</v>
      </c>
      <c r="E129" s="11">
        <v>385.01682100480326</v>
      </c>
      <c r="F129" s="11" t="s">
        <v>161</v>
      </c>
      <c r="G129" s="11" t="s">
        <v>161</v>
      </c>
      <c r="H129" s="11">
        <v>371.14106686019602</v>
      </c>
    </row>
    <row r="130" spans="1:8" x14ac:dyDescent="0.2">
      <c r="A130" s="8">
        <v>0.43282407407407408</v>
      </c>
      <c r="B130" s="11">
        <v>303.79727523586041</v>
      </c>
      <c r="C130" s="11">
        <v>368.7102539770824</v>
      </c>
      <c r="D130" s="11">
        <v>215.15215535060258</v>
      </c>
      <c r="E130" s="11">
        <v>349.16205391245353</v>
      </c>
      <c r="F130" s="11" t="s">
        <v>161</v>
      </c>
      <c r="G130" s="11" t="s">
        <v>161</v>
      </c>
      <c r="H130" s="11">
        <v>328.55243439752331</v>
      </c>
    </row>
    <row r="131" spans="1:8" x14ac:dyDescent="0.2">
      <c r="A131" s="8">
        <v>0.43283564814814812</v>
      </c>
      <c r="B131" s="11">
        <v>288.66833154184428</v>
      </c>
      <c r="C131" s="11">
        <v>369.72551875915957</v>
      </c>
      <c r="D131" s="11">
        <v>194.91404310176185</v>
      </c>
      <c r="E131" s="11">
        <v>354.41969689992544</v>
      </c>
      <c r="F131" s="11" t="s">
        <v>161</v>
      </c>
      <c r="G131" s="11" t="s">
        <v>161</v>
      </c>
      <c r="H131" s="11">
        <v>343.8632259765821</v>
      </c>
    </row>
    <row r="132" spans="1:8" x14ac:dyDescent="0.2">
      <c r="A132" s="8">
        <v>0.43284722222222222</v>
      </c>
      <c r="B132" s="11">
        <v>298.95302076470585</v>
      </c>
      <c r="C132" s="11">
        <v>364.14871129111179</v>
      </c>
      <c r="D132" s="11">
        <v>206.71900576013999</v>
      </c>
      <c r="E132" s="11">
        <v>371.50949830397457</v>
      </c>
      <c r="F132" s="11" t="s">
        <v>161</v>
      </c>
      <c r="G132" s="11" t="s">
        <v>161</v>
      </c>
      <c r="H132" s="11" t="s">
        <v>161</v>
      </c>
    </row>
    <row r="133" spans="1:8" x14ac:dyDescent="0.2">
      <c r="A133" s="8">
        <v>0.43285879629629631</v>
      </c>
      <c r="B133" s="11">
        <v>300.12986794296074</v>
      </c>
      <c r="C133" s="11">
        <v>372.94395255350997</v>
      </c>
      <c r="D133" s="11">
        <v>216.40721793993518</v>
      </c>
      <c r="E133" s="11" t="s">
        <v>161</v>
      </c>
      <c r="F133" s="11" t="s">
        <v>161</v>
      </c>
      <c r="G133" s="11" t="s">
        <v>161</v>
      </c>
      <c r="H133" s="11" t="s">
        <v>161</v>
      </c>
    </row>
    <row r="134" spans="1:8" x14ac:dyDescent="0.2">
      <c r="A134" s="8">
        <v>0.43287037037037035</v>
      </c>
      <c r="B134" s="11">
        <v>307.37052809716886</v>
      </c>
      <c r="C134" s="11">
        <v>376.41094728690251</v>
      </c>
      <c r="D134" s="11">
        <v>217.55629287528632</v>
      </c>
      <c r="E134" s="11">
        <v>353.40911223610289</v>
      </c>
      <c r="F134" s="11" t="s">
        <v>161</v>
      </c>
      <c r="G134" s="11" t="s">
        <v>161</v>
      </c>
      <c r="H134" s="11" t="s">
        <v>161</v>
      </c>
    </row>
    <row r="135" spans="1:8" x14ac:dyDescent="0.2">
      <c r="A135" s="8">
        <v>0.43288194444444444</v>
      </c>
      <c r="B135" s="11">
        <v>306.59373400332152</v>
      </c>
      <c r="C135" s="11">
        <v>369.02896406903193</v>
      </c>
      <c r="D135" s="11">
        <v>174.5395099770958</v>
      </c>
      <c r="E135" s="11">
        <v>381.88972020371756</v>
      </c>
      <c r="F135" s="11" t="s">
        <v>161</v>
      </c>
      <c r="G135" s="11" t="s">
        <v>161</v>
      </c>
      <c r="H135" s="11">
        <v>387.37225806715196</v>
      </c>
    </row>
    <row r="136" spans="1:8" x14ac:dyDescent="0.2">
      <c r="A136" s="8">
        <v>0.43289351851851854</v>
      </c>
      <c r="B136" s="11">
        <v>295.02342793069022</v>
      </c>
      <c r="C136" s="11">
        <v>381.34341839341732</v>
      </c>
      <c r="D136" s="11">
        <v>160.78032730544317</v>
      </c>
      <c r="E136" s="11">
        <v>380.59036750162625</v>
      </c>
      <c r="F136" s="11" t="s">
        <v>161</v>
      </c>
      <c r="G136" s="11" t="s">
        <v>161</v>
      </c>
      <c r="H136" s="11">
        <v>361.95575322885287</v>
      </c>
    </row>
    <row r="137" spans="1:8" x14ac:dyDescent="0.2">
      <c r="A137" s="8">
        <v>0.43290509259259258</v>
      </c>
      <c r="B137" s="11">
        <v>278.25511469812693</v>
      </c>
      <c r="C137" s="11">
        <v>385.7135953651516</v>
      </c>
      <c r="D137" s="11">
        <v>122.78669762651063</v>
      </c>
      <c r="E137" s="11">
        <v>368.95137389761931</v>
      </c>
      <c r="F137" s="11" t="s">
        <v>161</v>
      </c>
      <c r="G137" s="11" t="s">
        <v>161</v>
      </c>
      <c r="H137" s="11">
        <v>369.71248467858038</v>
      </c>
    </row>
    <row r="138" spans="1:8" x14ac:dyDescent="0.2">
      <c r="A138" s="8">
        <v>0.43739583333333332</v>
      </c>
      <c r="B138" s="11">
        <v>267.37378270776685</v>
      </c>
      <c r="C138" s="11">
        <v>254.73063830270527</v>
      </c>
      <c r="D138" s="11">
        <v>213.88515675685446</v>
      </c>
      <c r="E138" s="11">
        <v>298.4637057341676</v>
      </c>
      <c r="F138" s="11">
        <v>363.15224479753135</v>
      </c>
      <c r="G138" s="11">
        <v>287.13282628434621</v>
      </c>
      <c r="H138" s="11">
        <v>420.13902570038414</v>
      </c>
    </row>
    <row r="139" spans="1:8" x14ac:dyDescent="0.2">
      <c r="A139" s="8">
        <v>0.43740740740740741</v>
      </c>
      <c r="B139" s="11">
        <v>269.08536662388968</v>
      </c>
      <c r="C139" s="11">
        <v>252.82643713935542</v>
      </c>
      <c r="D139" s="11">
        <v>214.47477543049163</v>
      </c>
      <c r="E139" s="11">
        <v>300.00840469677928</v>
      </c>
      <c r="F139" s="11">
        <v>364.11726986295656</v>
      </c>
      <c r="G139" s="11">
        <v>287.59462105677949</v>
      </c>
      <c r="H139" s="11">
        <v>421.13360253684999</v>
      </c>
    </row>
    <row r="140" spans="1:8" x14ac:dyDescent="0.2">
      <c r="A140" s="8">
        <v>0.44165509259259261</v>
      </c>
      <c r="B140" s="11">
        <v>352.11246008302362</v>
      </c>
      <c r="C140" s="11">
        <v>434.54037966336909</v>
      </c>
      <c r="D140" s="11">
        <v>268.50728090693366</v>
      </c>
      <c r="E140" s="11">
        <v>508.24149442514732</v>
      </c>
      <c r="F140" s="11">
        <v>383.96643604102411</v>
      </c>
      <c r="G140" s="11">
        <v>520.85981545719494</v>
      </c>
      <c r="H140" s="11">
        <v>492.67179831550959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3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10" customWidth="1"/>
    <col min="2" max="2" width="21.6640625" customWidth="1"/>
    <col min="3" max="3" width="12.5" customWidth="1"/>
    <col min="4" max="4" width="17.83203125" customWidth="1"/>
  </cols>
  <sheetData>
    <row r="1" spans="1:5" x14ac:dyDescent="0.2">
      <c r="A1" t="s">
        <v>0</v>
      </c>
      <c r="B1" s="2" t="s">
        <v>148</v>
      </c>
      <c r="C1" s="2" t="s">
        <v>149</v>
      </c>
      <c r="D1" t="s">
        <v>147</v>
      </c>
      <c r="E1" s="2"/>
    </row>
    <row r="2" spans="1:5" x14ac:dyDescent="0.2">
      <c r="A2" t="s">
        <v>1</v>
      </c>
      <c r="B2" t="s">
        <v>8</v>
      </c>
      <c r="C2" s="1">
        <f>+TIME(HOUR(B2),MINUTE(B2),SECOND(B2))</f>
        <v>0.40699074074074076</v>
      </c>
      <c r="D2">
        <v>225.33325198560496</v>
      </c>
    </row>
    <row r="3" spans="1:5" x14ac:dyDescent="0.2">
      <c r="A3" t="s">
        <v>1</v>
      </c>
      <c r="B3" t="s">
        <v>9</v>
      </c>
      <c r="C3" s="1">
        <f>+TIME(HOUR(B3),MINUTE(B3),SECOND(B3))</f>
        <v>0.41690972222222222</v>
      </c>
      <c r="D3">
        <v>251.86392825060227</v>
      </c>
    </row>
    <row r="4" spans="1:5" x14ac:dyDescent="0.2">
      <c r="A4" t="s">
        <v>1</v>
      </c>
      <c r="B4" t="s">
        <v>10</v>
      </c>
      <c r="C4" s="1">
        <f>+TIME(HOUR(B4),MINUTE(B4),SECOND(B4))</f>
        <v>0.41692129629629632</v>
      </c>
      <c r="D4">
        <v>253.14317548011988</v>
      </c>
    </row>
    <row r="5" spans="1:5" x14ac:dyDescent="0.2">
      <c r="A5" t="s">
        <v>1</v>
      </c>
      <c r="B5" t="s">
        <v>11</v>
      </c>
      <c r="C5" s="1">
        <f t="shared" ref="C5:C68" si="0">+TIME(HOUR(B5),MINUTE(B5),SECOND(B5))</f>
        <v>0.41693287037037036</v>
      </c>
      <c r="D5">
        <v>260.66468661069456</v>
      </c>
    </row>
    <row r="6" spans="1:5" x14ac:dyDescent="0.2">
      <c r="A6" t="s">
        <v>1</v>
      </c>
      <c r="B6" t="s">
        <v>12</v>
      </c>
      <c r="C6" s="1">
        <f t="shared" si="0"/>
        <v>0.41699074074074072</v>
      </c>
      <c r="D6">
        <v>193.4981196288098</v>
      </c>
    </row>
    <row r="7" spans="1:5" x14ac:dyDescent="0.2">
      <c r="A7" t="s">
        <v>1</v>
      </c>
      <c r="B7" t="s">
        <v>13</v>
      </c>
      <c r="C7" s="1">
        <f t="shared" si="0"/>
        <v>0.41702546296296295</v>
      </c>
      <c r="D7">
        <v>257.20163195026731</v>
      </c>
    </row>
    <row r="8" spans="1:5" x14ac:dyDescent="0.2">
      <c r="A8" t="s">
        <v>1</v>
      </c>
      <c r="B8" t="s">
        <v>14</v>
      </c>
      <c r="C8" s="1">
        <f t="shared" si="0"/>
        <v>0.41976851851851854</v>
      </c>
      <c r="D8">
        <v>333.18790088581318</v>
      </c>
    </row>
    <row r="9" spans="1:5" x14ac:dyDescent="0.2">
      <c r="A9" t="s">
        <v>1</v>
      </c>
      <c r="B9" t="s">
        <v>15</v>
      </c>
      <c r="C9" s="1">
        <f t="shared" si="0"/>
        <v>0.41978009259259258</v>
      </c>
      <c r="D9">
        <v>289.87583779811206</v>
      </c>
    </row>
    <row r="10" spans="1:5" x14ac:dyDescent="0.2">
      <c r="A10" t="s">
        <v>1</v>
      </c>
      <c r="B10" t="s">
        <v>16</v>
      </c>
      <c r="C10" s="1">
        <f t="shared" si="0"/>
        <v>0.41979166666666667</v>
      </c>
      <c r="D10">
        <v>299.12922452697393</v>
      </c>
    </row>
    <row r="11" spans="1:5" x14ac:dyDescent="0.2">
      <c r="A11" t="s">
        <v>1</v>
      </c>
      <c r="B11" t="s">
        <v>17</v>
      </c>
      <c r="C11" s="1">
        <f t="shared" si="0"/>
        <v>0.41986111111111113</v>
      </c>
      <c r="D11">
        <v>330.76576865742447</v>
      </c>
    </row>
    <row r="12" spans="1:5" x14ac:dyDescent="0.2">
      <c r="A12" t="s">
        <v>1</v>
      </c>
      <c r="B12" t="s">
        <v>18</v>
      </c>
      <c r="C12" s="1">
        <f t="shared" si="0"/>
        <v>0.41987268518518517</v>
      </c>
      <c r="D12">
        <v>324.15881062988456</v>
      </c>
    </row>
    <row r="13" spans="1:5" x14ac:dyDescent="0.2">
      <c r="A13" t="s">
        <v>1</v>
      </c>
      <c r="B13" t="s">
        <v>19</v>
      </c>
      <c r="C13" s="1">
        <f t="shared" si="0"/>
        <v>0.41989583333333336</v>
      </c>
      <c r="D13">
        <v>324.43145990632769</v>
      </c>
    </row>
    <row r="14" spans="1:5" x14ac:dyDescent="0.2">
      <c r="A14" t="s">
        <v>1</v>
      </c>
      <c r="B14" t="s">
        <v>20</v>
      </c>
      <c r="C14" s="1">
        <f t="shared" si="0"/>
        <v>0.4199074074074074</v>
      </c>
      <c r="D14">
        <v>325.08345954186177</v>
      </c>
    </row>
    <row r="15" spans="1:5" x14ac:dyDescent="0.2">
      <c r="A15" t="s">
        <v>1</v>
      </c>
      <c r="B15" t="s">
        <v>21</v>
      </c>
      <c r="C15" s="1">
        <f t="shared" si="0"/>
        <v>0.41991898148148149</v>
      </c>
      <c r="D15">
        <v>318.89795314864574</v>
      </c>
    </row>
    <row r="16" spans="1:5" x14ac:dyDescent="0.2">
      <c r="A16" t="s">
        <v>1</v>
      </c>
      <c r="B16" t="s">
        <v>22</v>
      </c>
      <c r="C16" s="1">
        <f t="shared" si="0"/>
        <v>0.41993055555555553</v>
      </c>
      <c r="D16">
        <v>317.62927593534528</v>
      </c>
    </row>
    <row r="17" spans="1:4" x14ac:dyDescent="0.2">
      <c r="A17" t="s">
        <v>1</v>
      </c>
      <c r="B17" t="s">
        <v>23</v>
      </c>
      <c r="C17" s="1">
        <f t="shared" si="0"/>
        <v>0.41994212962962962</v>
      </c>
      <c r="D17">
        <v>360.98467626520198</v>
      </c>
    </row>
    <row r="18" spans="1:4" x14ac:dyDescent="0.2">
      <c r="A18" t="s">
        <v>1</v>
      </c>
      <c r="B18" t="s">
        <v>24</v>
      </c>
      <c r="C18" s="1">
        <f t="shared" si="0"/>
        <v>0.41995370370370372</v>
      </c>
      <c r="D18">
        <v>317.50218593603779</v>
      </c>
    </row>
    <row r="19" spans="1:4" x14ac:dyDescent="0.2">
      <c r="A19" t="s">
        <v>1</v>
      </c>
      <c r="B19" t="s">
        <v>25</v>
      </c>
      <c r="C19" s="1">
        <f t="shared" si="0"/>
        <v>0.41996527777777776</v>
      </c>
      <c r="D19">
        <v>334.9661312286396</v>
      </c>
    </row>
    <row r="20" spans="1:4" x14ac:dyDescent="0.2">
      <c r="A20" t="s">
        <v>1</v>
      </c>
      <c r="B20" t="s">
        <v>26</v>
      </c>
      <c r="C20" s="1">
        <f t="shared" si="0"/>
        <v>0.41997685185185185</v>
      </c>
      <c r="D20">
        <v>342.43744636345923</v>
      </c>
    </row>
    <row r="21" spans="1:4" x14ac:dyDescent="0.2">
      <c r="A21" t="s">
        <v>1</v>
      </c>
      <c r="B21" t="s">
        <v>27</v>
      </c>
      <c r="C21" s="1">
        <f t="shared" si="0"/>
        <v>0.41998842592592595</v>
      </c>
      <c r="D21">
        <v>340.0946640529599</v>
      </c>
    </row>
    <row r="22" spans="1:4" x14ac:dyDescent="0.2">
      <c r="A22" t="s">
        <v>1</v>
      </c>
      <c r="B22" t="s">
        <v>28</v>
      </c>
      <c r="C22" s="1">
        <f t="shared" si="0"/>
        <v>0.42</v>
      </c>
      <c r="D22">
        <v>337.41801027392484</v>
      </c>
    </row>
    <row r="23" spans="1:4" x14ac:dyDescent="0.2">
      <c r="A23" t="s">
        <v>1</v>
      </c>
      <c r="B23" t="s">
        <v>29</v>
      </c>
      <c r="C23" s="1">
        <f t="shared" si="0"/>
        <v>0.42001157407407408</v>
      </c>
      <c r="D23">
        <v>344.51895944077216</v>
      </c>
    </row>
    <row r="24" spans="1:4" x14ac:dyDescent="0.2">
      <c r="A24" t="s">
        <v>1</v>
      </c>
      <c r="B24" t="s">
        <v>30</v>
      </c>
      <c r="C24" s="1">
        <f t="shared" si="0"/>
        <v>0.42002314814814817</v>
      </c>
      <c r="D24">
        <v>344.19507426197526</v>
      </c>
    </row>
    <row r="25" spans="1:4" x14ac:dyDescent="0.2">
      <c r="A25" t="s">
        <v>1</v>
      </c>
      <c r="B25" t="s">
        <v>31</v>
      </c>
      <c r="C25" s="1">
        <f t="shared" si="0"/>
        <v>0.42003472222222221</v>
      </c>
      <c r="D25">
        <v>330.43075754776271</v>
      </c>
    </row>
    <row r="26" spans="1:4" x14ac:dyDescent="0.2">
      <c r="A26" t="s">
        <v>1</v>
      </c>
      <c r="B26" t="s">
        <v>32</v>
      </c>
      <c r="C26" s="1">
        <f t="shared" si="0"/>
        <v>0.42004629629629631</v>
      </c>
      <c r="D26">
        <v>320.628215178159</v>
      </c>
    </row>
    <row r="27" spans="1:4" x14ac:dyDescent="0.2">
      <c r="A27" t="s">
        <v>1</v>
      </c>
      <c r="B27" t="s">
        <v>33</v>
      </c>
      <c r="C27" s="1">
        <f t="shared" si="0"/>
        <v>0.42005787037037035</v>
      </c>
      <c r="D27">
        <v>339.99597521947669</v>
      </c>
    </row>
    <row r="28" spans="1:4" x14ac:dyDescent="0.2">
      <c r="A28" t="s">
        <v>1</v>
      </c>
      <c r="B28" t="s">
        <v>34</v>
      </c>
      <c r="C28" s="1">
        <f t="shared" si="0"/>
        <v>0.42006944444444444</v>
      </c>
      <c r="D28">
        <v>336.7935571106384</v>
      </c>
    </row>
    <row r="29" spans="1:4" x14ac:dyDescent="0.2">
      <c r="A29" t="s">
        <v>1</v>
      </c>
      <c r="B29" t="s">
        <v>35</v>
      </c>
      <c r="C29" s="1">
        <f t="shared" si="0"/>
        <v>0.42008101851851853</v>
      </c>
      <c r="D29">
        <v>338.15095891969059</v>
      </c>
    </row>
    <row r="30" spans="1:4" x14ac:dyDescent="0.2">
      <c r="A30" t="s">
        <v>1</v>
      </c>
      <c r="B30" t="s">
        <v>36</v>
      </c>
      <c r="C30" s="1">
        <f t="shared" si="0"/>
        <v>0.42009259259259257</v>
      </c>
      <c r="D30">
        <v>349.86495003805254</v>
      </c>
    </row>
    <row r="31" spans="1:4" x14ac:dyDescent="0.2">
      <c r="A31" t="s">
        <v>1</v>
      </c>
      <c r="B31" t="s">
        <v>37</v>
      </c>
      <c r="C31" s="1">
        <f t="shared" si="0"/>
        <v>0.42010416666666667</v>
      </c>
      <c r="D31">
        <v>349.63506064331665</v>
      </c>
    </row>
    <row r="32" spans="1:4" x14ac:dyDescent="0.2">
      <c r="A32" t="s">
        <v>1</v>
      </c>
      <c r="B32" t="s">
        <v>38</v>
      </c>
      <c r="C32" s="1">
        <f t="shared" si="0"/>
        <v>0.42011574074074076</v>
      </c>
      <c r="D32">
        <v>344.79406780754709</v>
      </c>
    </row>
    <row r="33" spans="1:4" x14ac:dyDescent="0.2">
      <c r="A33" t="s">
        <v>1</v>
      </c>
      <c r="B33" t="s">
        <v>39</v>
      </c>
      <c r="C33" s="1">
        <f t="shared" si="0"/>
        <v>0.4201273148148148</v>
      </c>
      <c r="D33">
        <v>342.73149302214631</v>
      </c>
    </row>
    <row r="34" spans="1:4" x14ac:dyDescent="0.2">
      <c r="A34" t="s">
        <v>1</v>
      </c>
      <c r="B34" t="s">
        <v>40</v>
      </c>
      <c r="C34" s="1">
        <f t="shared" si="0"/>
        <v>0.4201388888888889</v>
      </c>
      <c r="D34">
        <v>345.67783016686707</v>
      </c>
    </row>
    <row r="35" spans="1:4" x14ac:dyDescent="0.2">
      <c r="A35" t="s">
        <v>1</v>
      </c>
      <c r="B35" t="s">
        <v>41</v>
      </c>
      <c r="C35" s="1">
        <f t="shared" si="0"/>
        <v>0.42015046296296299</v>
      </c>
      <c r="D35">
        <v>341.58313215117403</v>
      </c>
    </row>
    <row r="36" spans="1:4" x14ac:dyDescent="0.2">
      <c r="A36" t="s">
        <v>1</v>
      </c>
      <c r="B36" t="s">
        <v>42</v>
      </c>
      <c r="C36" s="1">
        <f t="shared" si="0"/>
        <v>0.42119212962962965</v>
      </c>
      <c r="D36">
        <v>385.23092434292647</v>
      </c>
    </row>
    <row r="37" spans="1:4" x14ac:dyDescent="0.2">
      <c r="A37" t="s">
        <v>1</v>
      </c>
      <c r="B37" t="s">
        <v>43</v>
      </c>
      <c r="C37" s="1">
        <f t="shared" si="0"/>
        <v>0.42129629629629628</v>
      </c>
      <c r="D37">
        <v>356.20492616341505</v>
      </c>
    </row>
    <row r="38" spans="1:4" x14ac:dyDescent="0.2">
      <c r="A38" t="s">
        <v>1</v>
      </c>
      <c r="B38" t="s">
        <v>44</v>
      </c>
      <c r="C38" s="1">
        <f t="shared" si="0"/>
        <v>0.4226273148148148</v>
      </c>
      <c r="D38">
        <v>378.48165323061494</v>
      </c>
    </row>
    <row r="39" spans="1:4" x14ac:dyDescent="0.2">
      <c r="A39" t="s">
        <v>1</v>
      </c>
      <c r="B39" t="s">
        <v>45</v>
      </c>
      <c r="C39" s="1">
        <f t="shared" si="0"/>
        <v>0.4226388888888889</v>
      </c>
      <c r="D39">
        <v>376.8287496367156</v>
      </c>
    </row>
    <row r="40" spans="1:4" x14ac:dyDescent="0.2">
      <c r="A40" t="s">
        <v>1</v>
      </c>
      <c r="B40" t="s">
        <v>46</v>
      </c>
      <c r="C40" s="1">
        <f t="shared" si="0"/>
        <v>0.42265046296296294</v>
      </c>
      <c r="D40">
        <v>345.01586596180618</v>
      </c>
    </row>
    <row r="41" spans="1:4" x14ac:dyDescent="0.2">
      <c r="A41" t="s">
        <v>1</v>
      </c>
      <c r="B41" t="s">
        <v>47</v>
      </c>
      <c r="C41" s="1">
        <f t="shared" si="0"/>
        <v>0.42266203703703703</v>
      </c>
      <c r="D41">
        <v>373.72168790187044</v>
      </c>
    </row>
    <row r="42" spans="1:4" x14ac:dyDescent="0.2">
      <c r="A42" t="s">
        <v>1</v>
      </c>
      <c r="B42" t="s">
        <v>48</v>
      </c>
      <c r="C42" s="1">
        <f t="shared" si="0"/>
        <v>0.42267361111111112</v>
      </c>
      <c r="D42">
        <v>378.47411148257868</v>
      </c>
    </row>
    <row r="43" spans="1:4" x14ac:dyDescent="0.2">
      <c r="A43" t="s">
        <v>1</v>
      </c>
      <c r="B43" t="s">
        <v>49</v>
      </c>
      <c r="C43" s="1">
        <f t="shared" si="0"/>
        <v>0.42269675925925926</v>
      </c>
      <c r="D43">
        <v>377.25139797359367</v>
      </c>
    </row>
    <row r="44" spans="1:4" x14ac:dyDescent="0.2">
      <c r="A44" t="s">
        <v>1</v>
      </c>
      <c r="B44" t="s">
        <v>50</v>
      </c>
      <c r="C44" s="1">
        <f t="shared" si="0"/>
        <v>0.42270833333333335</v>
      </c>
      <c r="D44">
        <v>378.0539437701625</v>
      </c>
    </row>
    <row r="45" spans="1:4" x14ac:dyDescent="0.2">
      <c r="A45" t="s">
        <v>1</v>
      </c>
      <c r="B45" t="s">
        <v>51</v>
      </c>
      <c r="C45" s="1">
        <f t="shared" si="0"/>
        <v>0.42275462962962962</v>
      </c>
      <c r="D45">
        <v>373.97146733058378</v>
      </c>
    </row>
    <row r="46" spans="1:4" x14ac:dyDescent="0.2">
      <c r="A46" t="s">
        <v>1</v>
      </c>
      <c r="B46" t="s">
        <v>52</v>
      </c>
      <c r="C46" s="1">
        <f t="shared" si="0"/>
        <v>0.42276620370370371</v>
      </c>
      <c r="D46">
        <v>381.20027455784412</v>
      </c>
    </row>
    <row r="47" spans="1:4" x14ac:dyDescent="0.2">
      <c r="A47" t="s">
        <v>1</v>
      </c>
      <c r="B47" t="s">
        <v>53</v>
      </c>
      <c r="C47" s="1">
        <f t="shared" si="0"/>
        <v>0.42277777777777775</v>
      </c>
      <c r="D47">
        <v>382.24018544447648</v>
      </c>
    </row>
    <row r="48" spans="1:4" x14ac:dyDescent="0.2">
      <c r="A48" t="s">
        <v>1</v>
      </c>
      <c r="B48" t="s">
        <v>54</v>
      </c>
      <c r="C48" s="1">
        <f t="shared" si="0"/>
        <v>0.42283564814814817</v>
      </c>
      <c r="D48">
        <v>330.63830688633368</v>
      </c>
    </row>
    <row r="49" spans="1:4" x14ac:dyDescent="0.2">
      <c r="A49" t="s">
        <v>1</v>
      </c>
      <c r="B49" t="s">
        <v>55</v>
      </c>
      <c r="C49" s="1">
        <f t="shared" si="0"/>
        <v>0.42284722222222221</v>
      </c>
      <c r="D49">
        <v>346.35788615321758</v>
      </c>
    </row>
    <row r="50" spans="1:4" x14ac:dyDescent="0.2">
      <c r="A50" t="s">
        <v>1</v>
      </c>
      <c r="B50" t="s">
        <v>56</v>
      </c>
      <c r="C50" s="1">
        <f t="shared" si="0"/>
        <v>0.42423611111111109</v>
      </c>
      <c r="D50">
        <v>396.53429518342352</v>
      </c>
    </row>
    <row r="51" spans="1:4" x14ac:dyDescent="0.2">
      <c r="A51" t="s">
        <v>1</v>
      </c>
      <c r="B51" t="s">
        <v>57</v>
      </c>
      <c r="C51" s="1">
        <f t="shared" si="0"/>
        <v>0.42424768518518519</v>
      </c>
      <c r="D51">
        <v>372.30167481823275</v>
      </c>
    </row>
    <row r="52" spans="1:4" x14ac:dyDescent="0.2">
      <c r="A52" t="s">
        <v>1</v>
      </c>
      <c r="B52" t="s">
        <v>58</v>
      </c>
      <c r="C52" s="1">
        <f t="shared" si="0"/>
        <v>0.42425925925925928</v>
      </c>
      <c r="D52">
        <v>328.5615976459199</v>
      </c>
    </row>
    <row r="53" spans="1:4" x14ac:dyDescent="0.2">
      <c r="A53" t="s">
        <v>1</v>
      </c>
      <c r="B53" t="s">
        <v>59</v>
      </c>
      <c r="C53" s="1">
        <f t="shared" si="0"/>
        <v>0.42427083333333332</v>
      </c>
      <c r="D53">
        <v>318.07617756645726</v>
      </c>
    </row>
    <row r="54" spans="1:4" x14ac:dyDescent="0.2">
      <c r="A54" t="s">
        <v>1</v>
      </c>
      <c r="B54" t="s">
        <v>60</v>
      </c>
      <c r="C54" s="1">
        <f t="shared" si="0"/>
        <v>0.42428240740740741</v>
      </c>
      <c r="D54">
        <v>305.22987245838931</v>
      </c>
    </row>
    <row r="55" spans="1:4" x14ac:dyDescent="0.2">
      <c r="A55" t="s">
        <v>1</v>
      </c>
      <c r="B55" t="s">
        <v>61</v>
      </c>
      <c r="C55" s="1">
        <f t="shared" si="0"/>
        <v>0.42429398148148151</v>
      </c>
      <c r="D55">
        <v>309.3814704128211</v>
      </c>
    </row>
    <row r="56" spans="1:4" x14ac:dyDescent="0.2">
      <c r="A56" t="s">
        <v>1</v>
      </c>
      <c r="B56" t="s">
        <v>62</v>
      </c>
      <c r="C56" s="1">
        <f t="shared" si="0"/>
        <v>0.42431712962962964</v>
      </c>
      <c r="D56">
        <v>362.82763340332895</v>
      </c>
    </row>
    <row r="57" spans="1:4" x14ac:dyDescent="0.2">
      <c r="A57" t="s">
        <v>1</v>
      </c>
      <c r="B57" t="s">
        <v>63</v>
      </c>
      <c r="C57" s="1">
        <f t="shared" si="0"/>
        <v>0.42432870370370368</v>
      </c>
      <c r="D57">
        <v>385.16142007236346</v>
      </c>
    </row>
    <row r="58" spans="1:4" x14ac:dyDescent="0.2">
      <c r="A58" t="s">
        <v>1</v>
      </c>
      <c r="B58" t="s">
        <v>64</v>
      </c>
      <c r="C58" s="1">
        <f t="shared" si="0"/>
        <v>0.42434027777777777</v>
      </c>
      <c r="D58">
        <v>369.29812042033376</v>
      </c>
    </row>
    <row r="59" spans="1:4" x14ac:dyDescent="0.2">
      <c r="A59" t="s">
        <v>1</v>
      </c>
      <c r="B59" t="s">
        <v>65</v>
      </c>
      <c r="C59" s="1">
        <f t="shared" si="0"/>
        <v>0.42435185185185187</v>
      </c>
      <c r="D59">
        <v>363.77626582015262</v>
      </c>
    </row>
    <row r="60" spans="1:4" x14ac:dyDescent="0.2">
      <c r="A60" t="s">
        <v>1</v>
      </c>
      <c r="B60" t="s">
        <v>66</v>
      </c>
      <c r="C60" s="1">
        <f t="shared" si="0"/>
        <v>0.42443287037037036</v>
      </c>
      <c r="D60">
        <v>362.56281144800084</v>
      </c>
    </row>
    <row r="61" spans="1:4" x14ac:dyDescent="0.2">
      <c r="A61" t="s">
        <v>1</v>
      </c>
      <c r="B61" t="s">
        <v>67</v>
      </c>
      <c r="C61" s="1">
        <f t="shared" si="0"/>
        <v>0.42444444444444446</v>
      </c>
      <c r="D61">
        <v>372.95266748549062</v>
      </c>
    </row>
    <row r="62" spans="1:4" x14ac:dyDescent="0.2">
      <c r="A62" t="s">
        <v>1</v>
      </c>
      <c r="B62" t="s">
        <v>68</v>
      </c>
      <c r="C62" s="1">
        <f t="shared" si="0"/>
        <v>0.4244560185185185</v>
      </c>
      <c r="D62">
        <v>367.14851436566232</v>
      </c>
    </row>
    <row r="63" spans="1:4" x14ac:dyDescent="0.2">
      <c r="A63" t="s">
        <v>1</v>
      </c>
      <c r="B63" t="s">
        <v>69</v>
      </c>
      <c r="C63" s="1">
        <f t="shared" si="0"/>
        <v>0.42446759259259259</v>
      </c>
      <c r="D63">
        <v>371.07777666633268</v>
      </c>
    </row>
    <row r="64" spans="1:4" x14ac:dyDescent="0.2">
      <c r="A64" t="s">
        <v>1</v>
      </c>
      <c r="B64" t="s">
        <v>70</v>
      </c>
      <c r="C64" s="1">
        <f t="shared" si="0"/>
        <v>0.4256597222222222</v>
      </c>
      <c r="D64">
        <v>261.76339554020353</v>
      </c>
    </row>
    <row r="65" spans="1:4" x14ac:dyDescent="0.2">
      <c r="A65" t="s">
        <v>1</v>
      </c>
      <c r="B65" t="s">
        <v>71</v>
      </c>
      <c r="C65" s="1">
        <f t="shared" si="0"/>
        <v>0.42568287037037039</v>
      </c>
      <c r="D65">
        <v>286.51753699464211</v>
      </c>
    </row>
    <row r="66" spans="1:4" x14ac:dyDescent="0.2">
      <c r="A66" t="s">
        <v>1</v>
      </c>
      <c r="B66" t="s">
        <v>72</v>
      </c>
      <c r="C66" s="1">
        <f t="shared" si="0"/>
        <v>0.42571759259259262</v>
      </c>
      <c r="D66">
        <v>302.25850275833091</v>
      </c>
    </row>
    <row r="67" spans="1:4" x14ac:dyDescent="0.2">
      <c r="A67" t="s">
        <v>1</v>
      </c>
      <c r="B67" t="s">
        <v>73</v>
      </c>
      <c r="C67" s="1">
        <f t="shared" si="0"/>
        <v>0.42572916666666666</v>
      </c>
      <c r="D67">
        <v>300.50675525800915</v>
      </c>
    </row>
    <row r="68" spans="1:4" x14ac:dyDescent="0.2">
      <c r="A68" t="s">
        <v>1</v>
      </c>
      <c r="B68" t="s">
        <v>74</v>
      </c>
      <c r="C68" s="1">
        <f t="shared" si="0"/>
        <v>0.42574074074074075</v>
      </c>
      <c r="D68">
        <v>297.12529034845568</v>
      </c>
    </row>
    <row r="69" spans="1:4" x14ac:dyDescent="0.2">
      <c r="A69" t="s">
        <v>1</v>
      </c>
      <c r="B69" t="s">
        <v>75</v>
      </c>
      <c r="C69" s="1">
        <f t="shared" ref="C69:C132" si="1">+TIME(HOUR(B69),MINUTE(B69),SECOND(B69))</f>
        <v>0.42984953703703704</v>
      </c>
      <c r="D69">
        <v>259.47595818250977</v>
      </c>
    </row>
    <row r="70" spans="1:4" x14ac:dyDescent="0.2">
      <c r="A70" t="s">
        <v>1</v>
      </c>
      <c r="B70" t="s">
        <v>76</v>
      </c>
      <c r="C70" s="1">
        <f t="shared" si="1"/>
        <v>0.42986111111111114</v>
      </c>
      <c r="D70">
        <v>254.70796336133296</v>
      </c>
    </row>
    <row r="71" spans="1:4" x14ac:dyDescent="0.2">
      <c r="A71" t="s">
        <v>1</v>
      </c>
      <c r="B71" t="s">
        <v>77</v>
      </c>
      <c r="C71" s="1">
        <f t="shared" si="1"/>
        <v>0.42987268518518518</v>
      </c>
      <c r="D71">
        <v>253.01283209425694</v>
      </c>
    </row>
    <row r="72" spans="1:4" x14ac:dyDescent="0.2">
      <c r="A72" t="s">
        <v>1</v>
      </c>
      <c r="B72" t="s">
        <v>78</v>
      </c>
      <c r="C72" s="1">
        <f t="shared" si="1"/>
        <v>0.42988425925925927</v>
      </c>
      <c r="D72">
        <v>253.89064451150907</v>
      </c>
    </row>
    <row r="73" spans="1:4" x14ac:dyDescent="0.2">
      <c r="A73" t="s">
        <v>1</v>
      </c>
      <c r="B73" t="s">
        <v>79</v>
      </c>
      <c r="C73" s="1">
        <f t="shared" si="1"/>
        <v>0.42989583333333331</v>
      </c>
      <c r="D73">
        <v>257.251899753967</v>
      </c>
    </row>
    <row r="74" spans="1:4" x14ac:dyDescent="0.2">
      <c r="A74" t="s">
        <v>1</v>
      </c>
      <c r="B74" t="s">
        <v>80</v>
      </c>
      <c r="C74" s="1">
        <f t="shared" si="1"/>
        <v>0.4299074074074074</v>
      </c>
      <c r="D74">
        <v>253.54812463349458</v>
      </c>
    </row>
    <row r="75" spans="1:4" x14ac:dyDescent="0.2">
      <c r="A75" t="s">
        <v>1</v>
      </c>
      <c r="B75" t="s">
        <v>81</v>
      </c>
      <c r="C75" s="1">
        <f t="shared" si="1"/>
        <v>0.4299189814814815</v>
      </c>
      <c r="D75">
        <v>244.47028429674936</v>
      </c>
    </row>
    <row r="76" spans="1:4" x14ac:dyDescent="0.2">
      <c r="A76" t="s">
        <v>1</v>
      </c>
      <c r="B76" t="s">
        <v>82</v>
      </c>
      <c r="C76" s="1">
        <f t="shared" si="1"/>
        <v>0.42993055555555554</v>
      </c>
      <c r="D76">
        <v>256.67258129652299</v>
      </c>
    </row>
    <row r="77" spans="1:4" x14ac:dyDescent="0.2">
      <c r="A77" t="s">
        <v>1</v>
      </c>
      <c r="B77" t="s">
        <v>83</v>
      </c>
      <c r="C77" s="1">
        <f t="shared" si="1"/>
        <v>0.43129629629629629</v>
      </c>
      <c r="D77">
        <v>279.15580340608983</v>
      </c>
    </row>
    <row r="78" spans="1:4" x14ac:dyDescent="0.2">
      <c r="A78" t="s">
        <v>1</v>
      </c>
      <c r="B78" t="s">
        <v>84</v>
      </c>
      <c r="C78" s="1">
        <f t="shared" si="1"/>
        <v>0.43130787037037038</v>
      </c>
      <c r="D78">
        <v>277.92225351433905</v>
      </c>
    </row>
    <row r="79" spans="1:4" x14ac:dyDescent="0.2">
      <c r="A79" t="s">
        <v>1</v>
      </c>
      <c r="B79" t="s">
        <v>85</v>
      </c>
      <c r="C79" s="1">
        <f t="shared" si="1"/>
        <v>0.43131944444444442</v>
      </c>
      <c r="D79">
        <v>277.05165231188761</v>
      </c>
    </row>
    <row r="80" spans="1:4" x14ac:dyDescent="0.2">
      <c r="A80" t="s">
        <v>1</v>
      </c>
      <c r="B80" t="s">
        <v>86</v>
      </c>
      <c r="C80" s="1">
        <f t="shared" si="1"/>
        <v>0.43275462962962963</v>
      </c>
      <c r="D80">
        <v>311.12663223063396</v>
      </c>
    </row>
    <row r="81" spans="1:4" x14ac:dyDescent="0.2">
      <c r="A81" t="s">
        <v>1</v>
      </c>
      <c r="B81" t="s">
        <v>87</v>
      </c>
      <c r="C81" s="1">
        <f t="shared" si="1"/>
        <v>0.43276620370370372</v>
      </c>
      <c r="D81">
        <v>300.36823981101963</v>
      </c>
    </row>
    <row r="82" spans="1:4" x14ac:dyDescent="0.2">
      <c r="A82" t="s">
        <v>1</v>
      </c>
      <c r="B82" t="s">
        <v>88</v>
      </c>
      <c r="C82" s="1">
        <f t="shared" si="1"/>
        <v>0.43277777777777776</v>
      </c>
      <c r="D82">
        <v>275.15495066141267</v>
      </c>
    </row>
    <row r="83" spans="1:4" x14ac:dyDescent="0.2">
      <c r="A83" t="s">
        <v>1</v>
      </c>
      <c r="B83" t="s">
        <v>89</v>
      </c>
      <c r="C83" s="1">
        <f t="shared" si="1"/>
        <v>0.43278935185185186</v>
      </c>
      <c r="D83">
        <v>282.21553679566881</v>
      </c>
    </row>
    <row r="84" spans="1:4" x14ac:dyDescent="0.2">
      <c r="A84" t="s">
        <v>1</v>
      </c>
      <c r="B84" t="s">
        <v>90</v>
      </c>
      <c r="C84" s="1">
        <f t="shared" si="1"/>
        <v>0.43280092592592595</v>
      </c>
      <c r="D84">
        <v>272.73253672462113</v>
      </c>
    </row>
    <row r="85" spans="1:4" x14ac:dyDescent="0.2">
      <c r="A85" t="s">
        <v>1</v>
      </c>
      <c r="B85" t="s">
        <v>91</v>
      </c>
      <c r="C85" s="1">
        <f t="shared" si="1"/>
        <v>0.43281249999999999</v>
      </c>
      <c r="D85">
        <v>295.50644762865784</v>
      </c>
    </row>
    <row r="86" spans="1:4" x14ac:dyDescent="0.2">
      <c r="A86" t="s">
        <v>1</v>
      </c>
      <c r="B86" t="s">
        <v>92</v>
      </c>
      <c r="C86" s="1">
        <f t="shared" si="1"/>
        <v>0.43282407407407408</v>
      </c>
      <c r="D86">
        <v>303.79727523586041</v>
      </c>
    </row>
    <row r="87" spans="1:4" x14ac:dyDescent="0.2">
      <c r="A87" t="s">
        <v>1</v>
      </c>
      <c r="B87" t="s">
        <v>93</v>
      </c>
      <c r="C87" s="1">
        <f t="shared" si="1"/>
        <v>0.43283564814814812</v>
      </c>
      <c r="D87">
        <v>288.66833154184428</v>
      </c>
    </row>
    <row r="88" spans="1:4" x14ac:dyDescent="0.2">
      <c r="A88" t="s">
        <v>1</v>
      </c>
      <c r="B88" t="s">
        <v>94</v>
      </c>
      <c r="C88" s="1">
        <f t="shared" si="1"/>
        <v>0.43284722222222222</v>
      </c>
      <c r="D88">
        <v>298.95302076470585</v>
      </c>
    </row>
    <row r="89" spans="1:4" x14ac:dyDescent="0.2">
      <c r="A89" t="s">
        <v>1</v>
      </c>
      <c r="B89" t="s">
        <v>95</v>
      </c>
      <c r="C89" s="1">
        <f t="shared" si="1"/>
        <v>0.43285879629629631</v>
      </c>
      <c r="D89">
        <v>300.12986794296074</v>
      </c>
    </row>
    <row r="90" spans="1:4" x14ac:dyDescent="0.2">
      <c r="A90" t="s">
        <v>1</v>
      </c>
      <c r="B90" t="s">
        <v>96</v>
      </c>
      <c r="C90" s="1">
        <f t="shared" si="1"/>
        <v>0.43287037037037035</v>
      </c>
      <c r="D90">
        <v>307.37052809716886</v>
      </c>
    </row>
    <row r="91" spans="1:4" x14ac:dyDescent="0.2">
      <c r="A91" t="s">
        <v>1</v>
      </c>
      <c r="B91" t="s">
        <v>97</v>
      </c>
      <c r="C91" s="1">
        <f t="shared" si="1"/>
        <v>0.43288194444444444</v>
      </c>
      <c r="D91">
        <v>306.59373400332152</v>
      </c>
    </row>
    <row r="92" spans="1:4" x14ac:dyDescent="0.2">
      <c r="A92" t="s">
        <v>1</v>
      </c>
      <c r="B92" t="s">
        <v>98</v>
      </c>
      <c r="C92" s="1">
        <f t="shared" si="1"/>
        <v>0.43289351851851854</v>
      </c>
      <c r="D92">
        <v>295.02342793069022</v>
      </c>
    </row>
    <row r="93" spans="1:4" x14ac:dyDescent="0.2">
      <c r="A93" t="s">
        <v>1</v>
      </c>
      <c r="B93" t="s">
        <v>99</v>
      </c>
      <c r="C93" s="1">
        <f t="shared" si="1"/>
        <v>0.43290509259259258</v>
      </c>
      <c r="D93">
        <v>278.25511469812693</v>
      </c>
    </row>
    <row r="94" spans="1:4" x14ac:dyDescent="0.2">
      <c r="A94" t="s">
        <v>1</v>
      </c>
      <c r="B94" t="s">
        <v>100</v>
      </c>
      <c r="C94" s="1">
        <f t="shared" si="1"/>
        <v>0.43739583333333332</v>
      </c>
      <c r="D94">
        <v>267.37378270776685</v>
      </c>
    </row>
    <row r="95" spans="1:4" x14ac:dyDescent="0.2">
      <c r="A95" t="s">
        <v>1</v>
      </c>
      <c r="B95" t="s">
        <v>101</v>
      </c>
      <c r="C95" s="1">
        <f t="shared" si="1"/>
        <v>0.43740740740740741</v>
      </c>
      <c r="D95">
        <v>269.08536662388968</v>
      </c>
    </row>
    <row r="96" spans="1:4" x14ac:dyDescent="0.2">
      <c r="A96" t="s">
        <v>1</v>
      </c>
      <c r="B96" t="s">
        <v>102</v>
      </c>
      <c r="C96" s="1">
        <f t="shared" si="1"/>
        <v>0.44165509259259261</v>
      </c>
      <c r="D96">
        <v>352.11246008302362</v>
      </c>
    </row>
    <row r="97" spans="1:4" x14ac:dyDescent="0.2">
      <c r="A97" t="s">
        <v>2</v>
      </c>
      <c r="B97" t="s">
        <v>8</v>
      </c>
      <c r="C97" s="1">
        <f t="shared" si="1"/>
        <v>0.40699074074074076</v>
      </c>
      <c r="D97">
        <v>232.71642418074956</v>
      </c>
    </row>
    <row r="98" spans="1:4" x14ac:dyDescent="0.2">
      <c r="A98" t="s">
        <v>2</v>
      </c>
      <c r="B98" t="s">
        <v>9</v>
      </c>
      <c r="C98" s="1">
        <f t="shared" si="1"/>
        <v>0.41690972222222222</v>
      </c>
      <c r="D98">
        <v>303.68099069393941</v>
      </c>
    </row>
    <row r="99" spans="1:4" x14ac:dyDescent="0.2">
      <c r="A99" t="s">
        <v>2</v>
      </c>
      <c r="B99" t="s">
        <v>10</v>
      </c>
      <c r="C99" s="1">
        <f t="shared" si="1"/>
        <v>0.41692129629629632</v>
      </c>
      <c r="D99">
        <v>290.70685721125744</v>
      </c>
    </row>
    <row r="100" spans="1:4" x14ac:dyDescent="0.2">
      <c r="A100" t="s">
        <v>2</v>
      </c>
      <c r="B100" t="s">
        <v>11</v>
      </c>
      <c r="C100" s="1">
        <f t="shared" si="1"/>
        <v>0.41693287037037036</v>
      </c>
      <c r="D100">
        <v>291.35151752670492</v>
      </c>
    </row>
    <row r="101" spans="1:4" x14ac:dyDescent="0.2">
      <c r="A101" t="s">
        <v>2</v>
      </c>
      <c r="B101" t="s">
        <v>103</v>
      </c>
      <c r="C101" s="1">
        <f t="shared" si="1"/>
        <v>0.41694444444444445</v>
      </c>
      <c r="D101">
        <v>220.19370564815728</v>
      </c>
    </row>
    <row r="102" spans="1:4" x14ac:dyDescent="0.2">
      <c r="A102" t="s">
        <v>2</v>
      </c>
      <c r="B102" t="s">
        <v>104</v>
      </c>
      <c r="C102" s="1">
        <f t="shared" si="1"/>
        <v>0.41696759259259258</v>
      </c>
      <c r="D102">
        <v>261.44114423984803</v>
      </c>
    </row>
    <row r="103" spans="1:4" x14ac:dyDescent="0.2">
      <c r="A103" t="s">
        <v>2</v>
      </c>
      <c r="B103" t="s">
        <v>12</v>
      </c>
      <c r="C103" s="1">
        <f t="shared" si="1"/>
        <v>0.41699074074074072</v>
      </c>
      <c r="D103">
        <v>262.10714258030873</v>
      </c>
    </row>
    <row r="104" spans="1:4" x14ac:dyDescent="0.2">
      <c r="A104" t="s">
        <v>2</v>
      </c>
      <c r="B104" t="s">
        <v>105</v>
      </c>
      <c r="C104" s="1">
        <f t="shared" si="1"/>
        <v>0.41700231481481481</v>
      </c>
      <c r="D104">
        <v>284.73311341413518</v>
      </c>
    </row>
    <row r="105" spans="1:4" x14ac:dyDescent="0.2">
      <c r="A105" t="s">
        <v>2</v>
      </c>
      <c r="B105" t="s">
        <v>13</v>
      </c>
      <c r="C105" s="1">
        <f t="shared" si="1"/>
        <v>0.41702546296296295</v>
      </c>
      <c r="D105">
        <v>277.36393404105115</v>
      </c>
    </row>
    <row r="106" spans="1:4" x14ac:dyDescent="0.2">
      <c r="A106" t="s">
        <v>2</v>
      </c>
      <c r="B106" t="s">
        <v>14</v>
      </c>
      <c r="C106" s="1">
        <f t="shared" si="1"/>
        <v>0.41976851851851854</v>
      </c>
      <c r="D106">
        <v>345.63747822771984</v>
      </c>
    </row>
    <row r="107" spans="1:4" x14ac:dyDescent="0.2">
      <c r="A107" t="s">
        <v>2</v>
      </c>
      <c r="B107" t="s">
        <v>15</v>
      </c>
      <c r="C107" s="1">
        <f t="shared" si="1"/>
        <v>0.41978009259259258</v>
      </c>
      <c r="D107">
        <v>334.88741573837103</v>
      </c>
    </row>
    <row r="108" spans="1:4" x14ac:dyDescent="0.2">
      <c r="A108" t="s">
        <v>2</v>
      </c>
      <c r="B108" t="s">
        <v>16</v>
      </c>
      <c r="C108" s="1">
        <f t="shared" si="1"/>
        <v>0.41979166666666667</v>
      </c>
      <c r="D108">
        <v>335.92809532984398</v>
      </c>
    </row>
    <row r="109" spans="1:4" x14ac:dyDescent="0.2">
      <c r="A109" t="s">
        <v>2</v>
      </c>
      <c r="B109" t="s">
        <v>106</v>
      </c>
      <c r="C109" s="1">
        <f t="shared" si="1"/>
        <v>0.41980324074074077</v>
      </c>
      <c r="D109">
        <v>340.99882867054663</v>
      </c>
    </row>
    <row r="110" spans="1:4" x14ac:dyDescent="0.2">
      <c r="A110" t="s">
        <v>2</v>
      </c>
      <c r="B110" t="s">
        <v>107</v>
      </c>
      <c r="C110" s="1">
        <f t="shared" si="1"/>
        <v>0.41981481481481481</v>
      </c>
      <c r="D110">
        <v>334.22650570806508</v>
      </c>
    </row>
    <row r="111" spans="1:4" x14ac:dyDescent="0.2">
      <c r="A111" t="s">
        <v>2</v>
      </c>
      <c r="B111" t="s">
        <v>108</v>
      </c>
      <c r="C111" s="1">
        <f t="shared" si="1"/>
        <v>0.41983796296296294</v>
      </c>
      <c r="D111">
        <v>333.11060717985038</v>
      </c>
    </row>
    <row r="112" spans="1:4" x14ac:dyDescent="0.2">
      <c r="A112" t="s">
        <v>2</v>
      </c>
      <c r="B112" t="s">
        <v>109</v>
      </c>
      <c r="C112" s="1">
        <f t="shared" si="1"/>
        <v>0.41984953703703703</v>
      </c>
      <c r="D112">
        <v>342.64677753398979</v>
      </c>
    </row>
    <row r="113" spans="1:4" x14ac:dyDescent="0.2">
      <c r="A113" t="s">
        <v>2</v>
      </c>
      <c r="B113" t="s">
        <v>17</v>
      </c>
      <c r="C113" s="1">
        <f t="shared" si="1"/>
        <v>0.41986111111111113</v>
      </c>
      <c r="D113">
        <v>331.53420692040731</v>
      </c>
    </row>
    <row r="114" spans="1:4" x14ac:dyDescent="0.2">
      <c r="A114" t="s">
        <v>2</v>
      </c>
      <c r="B114" t="s">
        <v>18</v>
      </c>
      <c r="C114" s="1">
        <f t="shared" si="1"/>
        <v>0.41987268518518517</v>
      </c>
      <c r="D114">
        <v>344.88562469684013</v>
      </c>
    </row>
    <row r="115" spans="1:4" x14ac:dyDescent="0.2">
      <c r="A115" t="s">
        <v>2</v>
      </c>
      <c r="B115" t="s">
        <v>19</v>
      </c>
      <c r="C115" s="1">
        <f t="shared" si="1"/>
        <v>0.41989583333333336</v>
      </c>
      <c r="D115">
        <v>322.50880531107464</v>
      </c>
    </row>
    <row r="116" spans="1:4" x14ac:dyDescent="0.2">
      <c r="A116" t="s">
        <v>2</v>
      </c>
      <c r="B116" t="s">
        <v>20</v>
      </c>
      <c r="C116" s="1">
        <f t="shared" si="1"/>
        <v>0.4199074074074074</v>
      </c>
      <c r="D116">
        <v>322.37366593976776</v>
      </c>
    </row>
    <row r="117" spans="1:4" x14ac:dyDescent="0.2">
      <c r="A117" t="s">
        <v>2</v>
      </c>
      <c r="B117" t="s">
        <v>21</v>
      </c>
      <c r="C117" s="1">
        <f t="shared" si="1"/>
        <v>0.41991898148148149</v>
      </c>
      <c r="D117">
        <v>322.17975585895067</v>
      </c>
    </row>
    <row r="118" spans="1:4" x14ac:dyDescent="0.2">
      <c r="A118" t="s">
        <v>2</v>
      </c>
      <c r="B118" t="s">
        <v>22</v>
      </c>
      <c r="C118" s="1">
        <f t="shared" si="1"/>
        <v>0.41993055555555553</v>
      </c>
      <c r="D118">
        <v>313.89273573355553</v>
      </c>
    </row>
    <row r="119" spans="1:4" x14ac:dyDescent="0.2">
      <c r="A119" t="s">
        <v>2</v>
      </c>
      <c r="B119" t="s">
        <v>23</v>
      </c>
      <c r="C119" s="1">
        <f t="shared" si="1"/>
        <v>0.41994212962962962</v>
      </c>
      <c r="D119">
        <v>348.76075013738176</v>
      </c>
    </row>
    <row r="120" spans="1:4" x14ac:dyDescent="0.2">
      <c r="A120" t="s">
        <v>2</v>
      </c>
      <c r="B120" t="s">
        <v>24</v>
      </c>
      <c r="C120" s="1">
        <f t="shared" si="1"/>
        <v>0.41995370370370372</v>
      </c>
      <c r="D120">
        <v>329.40712761090441</v>
      </c>
    </row>
    <row r="121" spans="1:4" x14ac:dyDescent="0.2">
      <c r="A121" t="s">
        <v>2</v>
      </c>
      <c r="B121" t="s">
        <v>25</v>
      </c>
      <c r="C121" s="1">
        <f t="shared" si="1"/>
        <v>0.41996527777777776</v>
      </c>
      <c r="D121">
        <v>327.29589538990541</v>
      </c>
    </row>
    <row r="122" spans="1:4" x14ac:dyDescent="0.2">
      <c r="A122" t="s">
        <v>2</v>
      </c>
      <c r="B122" t="s">
        <v>26</v>
      </c>
      <c r="C122" s="1">
        <f t="shared" si="1"/>
        <v>0.41997685185185185</v>
      </c>
      <c r="D122">
        <v>330.12175558587364</v>
      </c>
    </row>
    <row r="123" spans="1:4" x14ac:dyDescent="0.2">
      <c r="A123" t="s">
        <v>2</v>
      </c>
      <c r="B123" t="s">
        <v>27</v>
      </c>
      <c r="C123" s="1">
        <f t="shared" si="1"/>
        <v>0.41998842592592595</v>
      </c>
      <c r="D123">
        <v>328.91032162412034</v>
      </c>
    </row>
    <row r="124" spans="1:4" x14ac:dyDescent="0.2">
      <c r="A124" t="s">
        <v>2</v>
      </c>
      <c r="B124" t="s">
        <v>28</v>
      </c>
      <c r="C124" s="1">
        <f t="shared" si="1"/>
        <v>0.42</v>
      </c>
      <c r="D124">
        <v>324.56831296890186</v>
      </c>
    </row>
    <row r="125" spans="1:4" x14ac:dyDescent="0.2">
      <c r="A125" t="s">
        <v>2</v>
      </c>
      <c r="B125" t="s">
        <v>29</v>
      </c>
      <c r="C125" s="1">
        <f t="shared" si="1"/>
        <v>0.42001157407407408</v>
      </c>
      <c r="D125">
        <v>325.23702339468053</v>
      </c>
    </row>
    <row r="126" spans="1:4" x14ac:dyDescent="0.2">
      <c r="A126" t="s">
        <v>2</v>
      </c>
      <c r="B126" t="s">
        <v>30</v>
      </c>
      <c r="C126" s="1">
        <f t="shared" si="1"/>
        <v>0.42002314814814817</v>
      </c>
      <c r="D126">
        <v>338.82898521414387</v>
      </c>
    </row>
    <row r="127" spans="1:4" x14ac:dyDescent="0.2">
      <c r="A127" t="s">
        <v>2</v>
      </c>
      <c r="B127" t="s">
        <v>31</v>
      </c>
      <c r="C127" s="1">
        <f t="shared" si="1"/>
        <v>0.42003472222222221</v>
      </c>
      <c r="D127">
        <v>326.35660375753736</v>
      </c>
    </row>
    <row r="128" spans="1:4" x14ac:dyDescent="0.2">
      <c r="A128" t="s">
        <v>2</v>
      </c>
      <c r="B128" t="s">
        <v>32</v>
      </c>
      <c r="C128" s="1">
        <f t="shared" si="1"/>
        <v>0.42004629629629631</v>
      </c>
      <c r="D128">
        <v>333.53553115762895</v>
      </c>
    </row>
    <row r="129" spans="1:4" x14ac:dyDescent="0.2">
      <c r="A129" t="s">
        <v>2</v>
      </c>
      <c r="B129" t="s">
        <v>33</v>
      </c>
      <c r="C129" s="1">
        <f t="shared" si="1"/>
        <v>0.42005787037037035</v>
      </c>
      <c r="D129">
        <v>332.33156633937045</v>
      </c>
    </row>
    <row r="130" spans="1:4" x14ac:dyDescent="0.2">
      <c r="A130" t="s">
        <v>2</v>
      </c>
      <c r="B130" t="s">
        <v>34</v>
      </c>
      <c r="C130" s="1">
        <f t="shared" si="1"/>
        <v>0.42006944444444444</v>
      </c>
      <c r="D130">
        <v>328.22234972283059</v>
      </c>
    </row>
    <row r="131" spans="1:4" x14ac:dyDescent="0.2">
      <c r="A131" t="s">
        <v>2</v>
      </c>
      <c r="B131" t="s">
        <v>35</v>
      </c>
      <c r="C131" s="1">
        <f t="shared" si="1"/>
        <v>0.42008101851851853</v>
      </c>
      <c r="D131">
        <v>326.823985755443</v>
      </c>
    </row>
    <row r="132" spans="1:4" x14ac:dyDescent="0.2">
      <c r="A132" t="s">
        <v>2</v>
      </c>
      <c r="B132" t="s">
        <v>36</v>
      </c>
      <c r="C132" s="1">
        <f t="shared" si="1"/>
        <v>0.42009259259259257</v>
      </c>
      <c r="D132">
        <v>336.44039849245968</v>
      </c>
    </row>
    <row r="133" spans="1:4" x14ac:dyDescent="0.2">
      <c r="A133" t="s">
        <v>2</v>
      </c>
      <c r="B133" t="s">
        <v>37</v>
      </c>
      <c r="C133" s="1">
        <f t="shared" ref="C133:C196" si="2">+TIME(HOUR(B133),MINUTE(B133),SECOND(B133))</f>
        <v>0.42010416666666667</v>
      </c>
      <c r="D133">
        <v>334.61819003066745</v>
      </c>
    </row>
    <row r="134" spans="1:4" x14ac:dyDescent="0.2">
      <c r="A134" t="s">
        <v>2</v>
      </c>
      <c r="B134" t="s">
        <v>38</v>
      </c>
      <c r="C134" s="1">
        <f t="shared" si="2"/>
        <v>0.42011574074074076</v>
      </c>
      <c r="D134">
        <v>329.87224021709051</v>
      </c>
    </row>
    <row r="135" spans="1:4" x14ac:dyDescent="0.2">
      <c r="A135" t="s">
        <v>2</v>
      </c>
      <c r="B135" t="s">
        <v>39</v>
      </c>
      <c r="C135" s="1">
        <f t="shared" si="2"/>
        <v>0.4201273148148148</v>
      </c>
      <c r="D135">
        <v>330.55963503585582</v>
      </c>
    </row>
    <row r="136" spans="1:4" x14ac:dyDescent="0.2">
      <c r="A136" t="s">
        <v>2</v>
      </c>
      <c r="B136" t="s">
        <v>40</v>
      </c>
      <c r="C136" s="1">
        <f t="shared" si="2"/>
        <v>0.4201388888888889</v>
      </c>
      <c r="D136">
        <v>333.78767229786047</v>
      </c>
    </row>
    <row r="137" spans="1:4" x14ac:dyDescent="0.2">
      <c r="A137" t="s">
        <v>2</v>
      </c>
      <c r="B137" t="s">
        <v>41</v>
      </c>
      <c r="C137" s="1">
        <f t="shared" si="2"/>
        <v>0.42015046296296299</v>
      </c>
      <c r="D137">
        <v>331.60905319151607</v>
      </c>
    </row>
    <row r="138" spans="1:4" x14ac:dyDescent="0.2">
      <c r="A138" t="s">
        <v>2</v>
      </c>
      <c r="B138" t="s">
        <v>42</v>
      </c>
      <c r="C138" s="1">
        <f t="shared" si="2"/>
        <v>0.42119212962962965</v>
      </c>
      <c r="D138">
        <v>430.40595118666266</v>
      </c>
    </row>
    <row r="139" spans="1:4" x14ac:dyDescent="0.2">
      <c r="A139" t="s">
        <v>2</v>
      </c>
      <c r="B139" t="s">
        <v>110</v>
      </c>
      <c r="C139" s="1">
        <f t="shared" si="2"/>
        <v>0.42120370370370369</v>
      </c>
      <c r="D139">
        <v>428.73935919932217</v>
      </c>
    </row>
    <row r="140" spans="1:4" x14ac:dyDescent="0.2">
      <c r="A140" t="s">
        <v>2</v>
      </c>
      <c r="B140" t="s">
        <v>111</v>
      </c>
      <c r="C140" s="1">
        <f t="shared" si="2"/>
        <v>0.42121527777777779</v>
      </c>
      <c r="D140">
        <v>435.97460077119001</v>
      </c>
    </row>
    <row r="141" spans="1:4" x14ac:dyDescent="0.2">
      <c r="A141" t="s">
        <v>2</v>
      </c>
      <c r="B141" t="s">
        <v>112</v>
      </c>
      <c r="C141" s="1">
        <f t="shared" si="2"/>
        <v>0.42122685185185182</v>
      </c>
      <c r="D141">
        <v>435.68445740394884</v>
      </c>
    </row>
    <row r="142" spans="1:4" x14ac:dyDescent="0.2">
      <c r="A142" t="s">
        <v>2</v>
      </c>
      <c r="B142" t="s">
        <v>113</v>
      </c>
      <c r="C142" s="1">
        <f t="shared" si="2"/>
        <v>0.42123842592592592</v>
      </c>
      <c r="D142">
        <v>436.9535299374889</v>
      </c>
    </row>
    <row r="143" spans="1:4" x14ac:dyDescent="0.2">
      <c r="A143" t="s">
        <v>2</v>
      </c>
      <c r="B143" t="s">
        <v>114</v>
      </c>
      <c r="C143" s="1">
        <f t="shared" si="2"/>
        <v>0.42125000000000001</v>
      </c>
      <c r="D143">
        <v>412.54832969773804</v>
      </c>
    </row>
    <row r="144" spans="1:4" x14ac:dyDescent="0.2">
      <c r="A144" t="s">
        <v>2</v>
      </c>
      <c r="B144" t="s">
        <v>115</v>
      </c>
      <c r="C144" s="1">
        <f t="shared" si="2"/>
        <v>0.42126157407407405</v>
      </c>
      <c r="D144">
        <v>423.67391421206855</v>
      </c>
    </row>
    <row r="145" spans="1:4" x14ac:dyDescent="0.2">
      <c r="A145" t="s">
        <v>2</v>
      </c>
      <c r="B145" t="s">
        <v>116</v>
      </c>
      <c r="C145" s="1">
        <f t="shared" si="2"/>
        <v>0.42127314814814815</v>
      </c>
      <c r="D145">
        <v>431.41436763684146</v>
      </c>
    </row>
    <row r="146" spans="1:4" x14ac:dyDescent="0.2">
      <c r="A146" t="s">
        <v>2</v>
      </c>
      <c r="B146" t="s">
        <v>43</v>
      </c>
      <c r="C146" s="1">
        <f t="shared" si="2"/>
        <v>0.42129629629629628</v>
      </c>
      <c r="D146">
        <v>442.05782434054157</v>
      </c>
    </row>
    <row r="147" spans="1:4" x14ac:dyDescent="0.2">
      <c r="A147" t="s">
        <v>2</v>
      </c>
      <c r="B147" t="s">
        <v>44</v>
      </c>
      <c r="C147" s="1">
        <f t="shared" si="2"/>
        <v>0.4226273148148148</v>
      </c>
      <c r="D147">
        <v>406.01721027985155</v>
      </c>
    </row>
    <row r="148" spans="1:4" x14ac:dyDescent="0.2">
      <c r="A148" t="s">
        <v>2</v>
      </c>
      <c r="B148" t="s">
        <v>45</v>
      </c>
      <c r="C148" s="1">
        <f t="shared" si="2"/>
        <v>0.4226388888888889</v>
      </c>
      <c r="D148">
        <v>429.57453388207648</v>
      </c>
    </row>
    <row r="149" spans="1:4" x14ac:dyDescent="0.2">
      <c r="A149" t="s">
        <v>2</v>
      </c>
      <c r="B149" t="s">
        <v>46</v>
      </c>
      <c r="C149" s="1">
        <f t="shared" si="2"/>
        <v>0.42265046296296294</v>
      </c>
      <c r="D149">
        <v>421.22512078660094</v>
      </c>
    </row>
    <row r="150" spans="1:4" x14ac:dyDescent="0.2">
      <c r="A150" t="s">
        <v>2</v>
      </c>
      <c r="B150" t="s">
        <v>48</v>
      </c>
      <c r="C150" s="1">
        <f t="shared" si="2"/>
        <v>0.42267361111111112</v>
      </c>
      <c r="D150">
        <v>403.67086151432255</v>
      </c>
    </row>
    <row r="151" spans="1:4" x14ac:dyDescent="0.2">
      <c r="A151" t="s">
        <v>2</v>
      </c>
      <c r="B151" t="s">
        <v>49</v>
      </c>
      <c r="C151" s="1">
        <f t="shared" si="2"/>
        <v>0.42269675925925926</v>
      </c>
      <c r="D151">
        <v>406.47212561610115</v>
      </c>
    </row>
    <row r="152" spans="1:4" x14ac:dyDescent="0.2">
      <c r="A152" t="s">
        <v>2</v>
      </c>
      <c r="B152" t="s">
        <v>50</v>
      </c>
      <c r="C152" s="1">
        <f t="shared" si="2"/>
        <v>0.42270833333333335</v>
      </c>
      <c r="D152">
        <v>408.30336552197667</v>
      </c>
    </row>
    <row r="153" spans="1:4" x14ac:dyDescent="0.2">
      <c r="A153" t="s">
        <v>2</v>
      </c>
      <c r="B153" t="s">
        <v>51</v>
      </c>
      <c r="C153" s="1">
        <f t="shared" si="2"/>
        <v>0.42275462962962962</v>
      </c>
      <c r="D153">
        <v>396.49210329166715</v>
      </c>
    </row>
    <row r="154" spans="1:4" x14ac:dyDescent="0.2">
      <c r="A154" t="s">
        <v>2</v>
      </c>
      <c r="B154" t="s">
        <v>52</v>
      </c>
      <c r="C154" s="1">
        <f t="shared" si="2"/>
        <v>0.42276620370370371</v>
      </c>
      <c r="D154">
        <v>403.22061105383688</v>
      </c>
    </row>
    <row r="155" spans="1:4" x14ac:dyDescent="0.2">
      <c r="A155" t="s">
        <v>2</v>
      </c>
      <c r="B155" t="s">
        <v>53</v>
      </c>
      <c r="C155" s="1">
        <f t="shared" si="2"/>
        <v>0.42277777777777775</v>
      </c>
      <c r="D155">
        <v>404.02724952907545</v>
      </c>
    </row>
    <row r="156" spans="1:4" x14ac:dyDescent="0.2">
      <c r="A156" t="s">
        <v>2</v>
      </c>
      <c r="B156" t="s">
        <v>117</v>
      </c>
      <c r="C156" s="1">
        <f t="shared" si="2"/>
        <v>0.42278935185185185</v>
      </c>
      <c r="D156">
        <v>434.32222357186555</v>
      </c>
    </row>
    <row r="157" spans="1:4" x14ac:dyDescent="0.2">
      <c r="A157" t="s">
        <v>2</v>
      </c>
      <c r="B157" t="s">
        <v>118</v>
      </c>
      <c r="C157" s="1">
        <f t="shared" si="2"/>
        <v>0.42280092592592594</v>
      </c>
      <c r="D157">
        <v>410.37903458441417</v>
      </c>
    </row>
    <row r="158" spans="1:4" x14ac:dyDescent="0.2">
      <c r="A158" t="s">
        <v>2</v>
      </c>
      <c r="B158" t="s">
        <v>119</v>
      </c>
      <c r="C158" s="1">
        <f t="shared" si="2"/>
        <v>0.42281249999999998</v>
      </c>
      <c r="D158">
        <v>402.10946629384603</v>
      </c>
    </row>
    <row r="159" spans="1:4" x14ac:dyDescent="0.2">
      <c r="A159" t="s">
        <v>2</v>
      </c>
      <c r="B159" t="s">
        <v>120</v>
      </c>
      <c r="C159" s="1">
        <f t="shared" si="2"/>
        <v>0.42282407407407407</v>
      </c>
      <c r="D159">
        <v>386.6238806494859</v>
      </c>
    </row>
    <row r="160" spans="1:4" x14ac:dyDescent="0.2">
      <c r="A160" t="s">
        <v>2</v>
      </c>
      <c r="B160" t="s">
        <v>54</v>
      </c>
      <c r="C160" s="1">
        <f t="shared" si="2"/>
        <v>0.42283564814814817</v>
      </c>
      <c r="D160">
        <v>369.38593342085471</v>
      </c>
    </row>
    <row r="161" spans="1:4" x14ac:dyDescent="0.2">
      <c r="A161" t="s">
        <v>2</v>
      </c>
      <c r="B161" t="s">
        <v>55</v>
      </c>
      <c r="C161" s="1">
        <f t="shared" si="2"/>
        <v>0.42284722222222221</v>
      </c>
      <c r="D161">
        <v>368.97553831893333</v>
      </c>
    </row>
    <row r="162" spans="1:4" x14ac:dyDescent="0.2">
      <c r="A162" t="s">
        <v>2</v>
      </c>
      <c r="B162" t="s">
        <v>121</v>
      </c>
      <c r="C162" s="1">
        <f t="shared" si="2"/>
        <v>0.4228587962962963</v>
      </c>
      <c r="D162">
        <v>434.08119869526899</v>
      </c>
    </row>
    <row r="163" spans="1:4" x14ac:dyDescent="0.2">
      <c r="A163" t="s">
        <v>2</v>
      </c>
      <c r="B163" t="s">
        <v>122</v>
      </c>
      <c r="C163" s="1">
        <f t="shared" si="2"/>
        <v>0.42289351851851853</v>
      </c>
      <c r="D163">
        <v>438.19081735079328</v>
      </c>
    </row>
    <row r="164" spans="1:4" x14ac:dyDescent="0.2">
      <c r="A164" t="s">
        <v>2</v>
      </c>
      <c r="B164" t="s">
        <v>123</v>
      </c>
      <c r="C164" s="1">
        <f t="shared" si="2"/>
        <v>0.42295138888888889</v>
      </c>
      <c r="D164">
        <v>375.79127711364657</v>
      </c>
    </row>
    <row r="165" spans="1:4" x14ac:dyDescent="0.2">
      <c r="A165" t="s">
        <v>2</v>
      </c>
      <c r="B165" t="s">
        <v>124</v>
      </c>
      <c r="C165" s="1">
        <f t="shared" si="2"/>
        <v>0.42296296296296299</v>
      </c>
      <c r="D165">
        <v>395.57411929165784</v>
      </c>
    </row>
    <row r="166" spans="1:4" x14ac:dyDescent="0.2">
      <c r="A166" t="s">
        <v>2</v>
      </c>
      <c r="B166" t="s">
        <v>125</v>
      </c>
      <c r="C166" s="1">
        <f t="shared" si="2"/>
        <v>0.42297453703703702</v>
      </c>
      <c r="D166">
        <v>386.66135922663881</v>
      </c>
    </row>
    <row r="167" spans="1:4" x14ac:dyDescent="0.2">
      <c r="A167" t="s">
        <v>2</v>
      </c>
      <c r="B167" t="s">
        <v>126</v>
      </c>
      <c r="C167" s="1">
        <f t="shared" si="2"/>
        <v>0.42298611111111112</v>
      </c>
      <c r="D167">
        <v>374.07936748586951</v>
      </c>
    </row>
    <row r="168" spans="1:4" x14ac:dyDescent="0.2">
      <c r="A168" t="s">
        <v>2</v>
      </c>
      <c r="B168" t="s">
        <v>127</v>
      </c>
      <c r="C168" s="1">
        <f t="shared" si="2"/>
        <v>0.4241550925925926</v>
      </c>
      <c r="D168">
        <v>377.71247273845898</v>
      </c>
    </row>
    <row r="169" spans="1:4" x14ac:dyDescent="0.2">
      <c r="A169" t="s">
        <v>2</v>
      </c>
      <c r="B169" t="s">
        <v>128</v>
      </c>
      <c r="C169" s="1">
        <f t="shared" si="2"/>
        <v>0.42416666666666669</v>
      </c>
      <c r="D169">
        <v>361.18607057782236</v>
      </c>
    </row>
    <row r="170" spans="1:4" x14ac:dyDescent="0.2">
      <c r="A170" t="s">
        <v>2</v>
      </c>
      <c r="B170" t="s">
        <v>129</v>
      </c>
      <c r="C170" s="1">
        <f t="shared" si="2"/>
        <v>0.42417824074074073</v>
      </c>
      <c r="D170">
        <v>367.52629616083317</v>
      </c>
    </row>
    <row r="171" spans="1:4" x14ac:dyDescent="0.2">
      <c r="A171" t="s">
        <v>2</v>
      </c>
      <c r="B171" t="s">
        <v>56</v>
      </c>
      <c r="C171" s="1">
        <f t="shared" si="2"/>
        <v>0.42423611111111109</v>
      </c>
      <c r="D171">
        <v>388.16645573769642</v>
      </c>
    </row>
    <row r="172" spans="1:4" x14ac:dyDescent="0.2">
      <c r="A172" t="s">
        <v>2</v>
      </c>
      <c r="B172" t="s">
        <v>57</v>
      </c>
      <c r="C172" s="1">
        <f t="shared" si="2"/>
        <v>0.42424768518518519</v>
      </c>
      <c r="D172">
        <v>367.41682178558881</v>
      </c>
    </row>
    <row r="173" spans="1:4" x14ac:dyDescent="0.2">
      <c r="A173" t="s">
        <v>2</v>
      </c>
      <c r="B173" t="s">
        <v>58</v>
      </c>
      <c r="C173" s="1">
        <f t="shared" si="2"/>
        <v>0.42425925925925928</v>
      </c>
      <c r="D173">
        <v>371.10163943540368</v>
      </c>
    </row>
    <row r="174" spans="1:4" x14ac:dyDescent="0.2">
      <c r="A174" t="s">
        <v>2</v>
      </c>
      <c r="B174" t="s">
        <v>59</v>
      </c>
      <c r="C174" s="1">
        <f t="shared" si="2"/>
        <v>0.42427083333333332</v>
      </c>
      <c r="D174">
        <v>370.82368243608624</v>
      </c>
    </row>
    <row r="175" spans="1:4" x14ac:dyDescent="0.2">
      <c r="A175" t="s">
        <v>2</v>
      </c>
      <c r="B175" t="s">
        <v>60</v>
      </c>
      <c r="C175" s="1">
        <f t="shared" si="2"/>
        <v>0.42428240740740741</v>
      </c>
      <c r="D175">
        <v>365.77318494941181</v>
      </c>
    </row>
    <row r="176" spans="1:4" x14ac:dyDescent="0.2">
      <c r="A176" t="s">
        <v>2</v>
      </c>
      <c r="B176" t="s">
        <v>61</v>
      </c>
      <c r="C176" s="1">
        <f t="shared" si="2"/>
        <v>0.42429398148148151</v>
      </c>
      <c r="D176">
        <v>353.31984923819743</v>
      </c>
    </row>
    <row r="177" spans="1:4" x14ac:dyDescent="0.2">
      <c r="A177" t="s">
        <v>2</v>
      </c>
      <c r="B177" t="s">
        <v>130</v>
      </c>
      <c r="C177" s="1">
        <f t="shared" si="2"/>
        <v>0.42430555555555555</v>
      </c>
      <c r="D177">
        <v>354.08819214409158</v>
      </c>
    </row>
    <row r="178" spans="1:4" x14ac:dyDescent="0.2">
      <c r="A178" t="s">
        <v>2</v>
      </c>
      <c r="B178" t="s">
        <v>62</v>
      </c>
      <c r="C178" s="1">
        <f t="shared" si="2"/>
        <v>0.42431712962962964</v>
      </c>
      <c r="D178">
        <v>356.01050382957817</v>
      </c>
    </row>
    <row r="179" spans="1:4" x14ac:dyDescent="0.2">
      <c r="A179" t="s">
        <v>2</v>
      </c>
      <c r="B179" t="s">
        <v>63</v>
      </c>
      <c r="C179" s="1">
        <f t="shared" si="2"/>
        <v>0.42432870370370368</v>
      </c>
      <c r="D179">
        <v>350.62723273262213</v>
      </c>
    </row>
    <row r="180" spans="1:4" x14ac:dyDescent="0.2">
      <c r="A180" t="s">
        <v>2</v>
      </c>
      <c r="B180" t="s">
        <v>64</v>
      </c>
      <c r="C180" s="1">
        <f t="shared" si="2"/>
        <v>0.42434027777777777</v>
      </c>
      <c r="D180">
        <v>339.97124142617463</v>
      </c>
    </row>
    <row r="181" spans="1:4" x14ac:dyDescent="0.2">
      <c r="A181" t="s">
        <v>2</v>
      </c>
      <c r="B181" t="s">
        <v>65</v>
      </c>
      <c r="C181" s="1">
        <f t="shared" si="2"/>
        <v>0.42435185185185187</v>
      </c>
      <c r="D181">
        <v>332.32006516395415</v>
      </c>
    </row>
    <row r="182" spans="1:4" x14ac:dyDescent="0.2">
      <c r="A182" t="s">
        <v>2</v>
      </c>
      <c r="B182" t="s">
        <v>131</v>
      </c>
      <c r="C182" s="1">
        <f t="shared" si="2"/>
        <v>0.42436342592592591</v>
      </c>
      <c r="D182">
        <v>363.2047081353312</v>
      </c>
    </row>
    <row r="183" spans="1:4" x14ac:dyDescent="0.2">
      <c r="A183" t="s">
        <v>2</v>
      </c>
      <c r="B183" t="s">
        <v>132</v>
      </c>
      <c r="C183" s="1">
        <f t="shared" si="2"/>
        <v>0.42440972222222223</v>
      </c>
      <c r="D183">
        <v>394.69702198503609</v>
      </c>
    </row>
    <row r="184" spans="1:4" x14ac:dyDescent="0.2">
      <c r="A184" t="s">
        <v>2</v>
      </c>
      <c r="B184" t="s">
        <v>66</v>
      </c>
      <c r="C184" s="1">
        <f t="shared" si="2"/>
        <v>0.42443287037037036</v>
      </c>
      <c r="D184">
        <v>379.89895762649155</v>
      </c>
    </row>
    <row r="185" spans="1:4" x14ac:dyDescent="0.2">
      <c r="A185" t="s">
        <v>2</v>
      </c>
      <c r="B185" t="s">
        <v>67</v>
      </c>
      <c r="C185" s="1">
        <f t="shared" si="2"/>
        <v>0.42444444444444446</v>
      </c>
      <c r="D185">
        <v>370.37753586653486</v>
      </c>
    </row>
    <row r="186" spans="1:4" x14ac:dyDescent="0.2">
      <c r="A186" t="s">
        <v>2</v>
      </c>
      <c r="B186" t="s">
        <v>68</v>
      </c>
      <c r="C186" s="1">
        <f t="shared" si="2"/>
        <v>0.4244560185185185</v>
      </c>
      <c r="D186">
        <v>361.78466225048169</v>
      </c>
    </row>
    <row r="187" spans="1:4" x14ac:dyDescent="0.2">
      <c r="A187" t="s">
        <v>2</v>
      </c>
      <c r="B187" t="s">
        <v>69</v>
      </c>
      <c r="C187" s="1">
        <f t="shared" si="2"/>
        <v>0.42446759259259259</v>
      </c>
      <c r="D187">
        <v>349.63443621248291</v>
      </c>
    </row>
    <row r="188" spans="1:4" x14ac:dyDescent="0.2">
      <c r="A188" t="s">
        <v>2</v>
      </c>
      <c r="B188" t="s">
        <v>133</v>
      </c>
      <c r="C188" s="1">
        <f t="shared" si="2"/>
        <v>0.4255902777777778</v>
      </c>
      <c r="D188">
        <v>297.19657160463834</v>
      </c>
    </row>
    <row r="189" spans="1:4" x14ac:dyDescent="0.2">
      <c r="A189" t="s">
        <v>2</v>
      </c>
      <c r="B189" t="s">
        <v>134</v>
      </c>
      <c r="C189" s="1">
        <f t="shared" si="2"/>
        <v>0.42560185185185184</v>
      </c>
      <c r="D189">
        <v>317.16018846038185</v>
      </c>
    </row>
    <row r="190" spans="1:4" x14ac:dyDescent="0.2">
      <c r="A190" t="s">
        <v>2</v>
      </c>
      <c r="B190" t="s">
        <v>135</v>
      </c>
      <c r="C190" s="1">
        <f t="shared" si="2"/>
        <v>0.42561342592592594</v>
      </c>
      <c r="D190">
        <v>318.57896432804529</v>
      </c>
    </row>
    <row r="191" spans="1:4" x14ac:dyDescent="0.2">
      <c r="A191" t="s">
        <v>2</v>
      </c>
      <c r="B191" t="s">
        <v>70</v>
      </c>
      <c r="C191" s="1">
        <f t="shared" si="2"/>
        <v>0.4256597222222222</v>
      </c>
      <c r="D191">
        <v>258.62550153057168</v>
      </c>
    </row>
    <row r="192" spans="1:4" x14ac:dyDescent="0.2">
      <c r="A192" t="s">
        <v>2</v>
      </c>
      <c r="B192" t="s">
        <v>136</v>
      </c>
      <c r="C192" s="1">
        <f t="shared" si="2"/>
        <v>0.4256712962962963</v>
      </c>
      <c r="D192">
        <v>246.40619099113246</v>
      </c>
    </row>
    <row r="193" spans="1:4" x14ac:dyDescent="0.2">
      <c r="A193" t="s">
        <v>2</v>
      </c>
      <c r="B193" t="s">
        <v>71</v>
      </c>
      <c r="C193" s="1">
        <f t="shared" si="2"/>
        <v>0.42568287037037039</v>
      </c>
      <c r="D193">
        <v>252.3434812188151</v>
      </c>
    </row>
    <row r="194" spans="1:4" x14ac:dyDescent="0.2">
      <c r="A194" t="s">
        <v>2</v>
      </c>
      <c r="B194" t="s">
        <v>137</v>
      </c>
      <c r="C194" s="1">
        <f t="shared" si="2"/>
        <v>0.42570601851851853</v>
      </c>
      <c r="D194">
        <v>357.23719409771638</v>
      </c>
    </row>
    <row r="195" spans="1:4" x14ac:dyDescent="0.2">
      <c r="A195" t="s">
        <v>2</v>
      </c>
      <c r="B195" t="s">
        <v>72</v>
      </c>
      <c r="C195" s="1">
        <f t="shared" si="2"/>
        <v>0.42571759259259262</v>
      </c>
      <c r="D195">
        <v>361.77044526082153</v>
      </c>
    </row>
    <row r="196" spans="1:4" x14ac:dyDescent="0.2">
      <c r="A196" t="s">
        <v>2</v>
      </c>
      <c r="B196" t="s">
        <v>73</v>
      </c>
      <c r="C196" s="1">
        <f t="shared" si="2"/>
        <v>0.42572916666666666</v>
      </c>
      <c r="D196">
        <v>359.35120657902809</v>
      </c>
    </row>
    <row r="197" spans="1:4" x14ac:dyDescent="0.2">
      <c r="A197" t="s">
        <v>2</v>
      </c>
      <c r="B197" t="s">
        <v>74</v>
      </c>
      <c r="C197" s="1">
        <f t="shared" ref="C197:C260" si="3">+TIME(HOUR(B197),MINUTE(B197),SECOND(B197))</f>
        <v>0.42574074074074075</v>
      </c>
      <c r="D197">
        <v>360.45241234903119</v>
      </c>
    </row>
    <row r="198" spans="1:4" x14ac:dyDescent="0.2">
      <c r="A198" t="s">
        <v>2</v>
      </c>
      <c r="B198" t="s">
        <v>75</v>
      </c>
      <c r="C198" s="1">
        <f t="shared" si="3"/>
        <v>0.42984953703703704</v>
      </c>
      <c r="D198">
        <v>297.60356152038361</v>
      </c>
    </row>
    <row r="199" spans="1:4" x14ac:dyDescent="0.2">
      <c r="A199" t="s">
        <v>2</v>
      </c>
      <c r="B199" t="s">
        <v>76</v>
      </c>
      <c r="C199" s="1">
        <f t="shared" si="3"/>
        <v>0.42986111111111114</v>
      </c>
      <c r="D199">
        <v>290.26836467924983</v>
      </c>
    </row>
    <row r="200" spans="1:4" x14ac:dyDescent="0.2">
      <c r="A200" t="s">
        <v>2</v>
      </c>
      <c r="B200" t="s">
        <v>77</v>
      </c>
      <c r="C200" s="1">
        <f t="shared" si="3"/>
        <v>0.42987268518518518</v>
      </c>
      <c r="D200">
        <v>289.12997014231621</v>
      </c>
    </row>
    <row r="201" spans="1:4" x14ac:dyDescent="0.2">
      <c r="A201" t="s">
        <v>2</v>
      </c>
      <c r="B201" t="s">
        <v>78</v>
      </c>
      <c r="C201" s="1">
        <f t="shared" si="3"/>
        <v>0.42988425925925927</v>
      </c>
      <c r="D201">
        <v>288.40244538040145</v>
      </c>
    </row>
    <row r="202" spans="1:4" x14ac:dyDescent="0.2">
      <c r="A202" t="s">
        <v>2</v>
      </c>
      <c r="B202" t="s">
        <v>79</v>
      </c>
      <c r="C202" s="1">
        <f t="shared" si="3"/>
        <v>0.42989583333333331</v>
      </c>
      <c r="D202">
        <v>281.52899427830317</v>
      </c>
    </row>
    <row r="203" spans="1:4" x14ac:dyDescent="0.2">
      <c r="A203" t="s">
        <v>2</v>
      </c>
      <c r="B203" t="s">
        <v>80</v>
      </c>
      <c r="C203" s="1">
        <f t="shared" si="3"/>
        <v>0.4299074074074074</v>
      </c>
      <c r="D203">
        <v>272.55119831873185</v>
      </c>
    </row>
    <row r="204" spans="1:4" x14ac:dyDescent="0.2">
      <c r="A204" t="s">
        <v>2</v>
      </c>
      <c r="B204" t="s">
        <v>81</v>
      </c>
      <c r="C204" s="1">
        <f t="shared" si="3"/>
        <v>0.4299189814814815</v>
      </c>
      <c r="D204">
        <v>278.76039475011214</v>
      </c>
    </row>
    <row r="205" spans="1:4" x14ac:dyDescent="0.2">
      <c r="A205" t="s">
        <v>2</v>
      </c>
      <c r="B205" t="s">
        <v>82</v>
      </c>
      <c r="C205" s="1">
        <f t="shared" si="3"/>
        <v>0.42993055555555554</v>
      </c>
      <c r="D205">
        <v>285.26112329740124</v>
      </c>
    </row>
    <row r="206" spans="1:4" x14ac:dyDescent="0.2">
      <c r="A206" t="s">
        <v>2</v>
      </c>
      <c r="B206" t="s">
        <v>83</v>
      </c>
      <c r="C206" s="1">
        <f t="shared" si="3"/>
        <v>0.43129629629629629</v>
      </c>
      <c r="D206">
        <v>313.60762440468858</v>
      </c>
    </row>
    <row r="207" spans="1:4" x14ac:dyDescent="0.2">
      <c r="A207" t="s">
        <v>2</v>
      </c>
      <c r="B207" t="s">
        <v>84</v>
      </c>
      <c r="C207" s="1">
        <f t="shared" si="3"/>
        <v>0.43130787037037038</v>
      </c>
      <c r="D207">
        <v>314.20918652092149</v>
      </c>
    </row>
    <row r="208" spans="1:4" x14ac:dyDescent="0.2">
      <c r="A208" t="s">
        <v>2</v>
      </c>
      <c r="B208" t="s">
        <v>85</v>
      </c>
      <c r="C208" s="1">
        <f t="shared" si="3"/>
        <v>0.43131944444444442</v>
      </c>
      <c r="D208">
        <v>313.10759791039465</v>
      </c>
    </row>
    <row r="209" spans="1:4" x14ac:dyDescent="0.2">
      <c r="A209" t="s">
        <v>2</v>
      </c>
      <c r="B209" t="s">
        <v>138</v>
      </c>
      <c r="C209" s="1">
        <f t="shared" si="3"/>
        <v>0.43137731481481484</v>
      </c>
      <c r="D209">
        <v>297.58374321047211</v>
      </c>
    </row>
    <row r="210" spans="1:4" x14ac:dyDescent="0.2">
      <c r="A210" t="s">
        <v>2</v>
      </c>
      <c r="B210" t="s">
        <v>86</v>
      </c>
      <c r="C210" s="1">
        <f t="shared" si="3"/>
        <v>0.43275462962962963</v>
      </c>
      <c r="D210">
        <v>369.55068401657627</v>
      </c>
    </row>
    <row r="211" spans="1:4" x14ac:dyDescent="0.2">
      <c r="A211" t="s">
        <v>2</v>
      </c>
      <c r="B211" t="s">
        <v>87</v>
      </c>
      <c r="C211" s="1">
        <f t="shared" si="3"/>
        <v>0.43276620370370372</v>
      </c>
      <c r="D211">
        <v>356.48890486883835</v>
      </c>
    </row>
    <row r="212" spans="1:4" x14ac:dyDescent="0.2">
      <c r="A212" t="s">
        <v>2</v>
      </c>
      <c r="B212" t="s">
        <v>88</v>
      </c>
      <c r="C212" s="1">
        <f t="shared" si="3"/>
        <v>0.43277777777777776</v>
      </c>
      <c r="D212">
        <v>375.89721283144291</v>
      </c>
    </row>
    <row r="213" spans="1:4" x14ac:dyDescent="0.2">
      <c r="A213" t="s">
        <v>2</v>
      </c>
      <c r="B213" t="s">
        <v>89</v>
      </c>
      <c r="C213" s="1">
        <f t="shared" si="3"/>
        <v>0.43278935185185186</v>
      </c>
      <c r="D213">
        <v>374.90592511918442</v>
      </c>
    </row>
    <row r="214" spans="1:4" x14ac:dyDescent="0.2">
      <c r="A214" t="s">
        <v>2</v>
      </c>
      <c r="B214" t="s">
        <v>90</v>
      </c>
      <c r="C214" s="1">
        <f t="shared" si="3"/>
        <v>0.43280092592592595</v>
      </c>
      <c r="D214">
        <v>378.08854563589057</v>
      </c>
    </row>
    <row r="215" spans="1:4" x14ac:dyDescent="0.2">
      <c r="A215" t="s">
        <v>2</v>
      </c>
      <c r="B215" t="s">
        <v>91</v>
      </c>
      <c r="C215" s="1">
        <f t="shared" si="3"/>
        <v>0.43281249999999999</v>
      </c>
      <c r="D215">
        <v>371.47246420595758</v>
      </c>
    </row>
    <row r="216" spans="1:4" x14ac:dyDescent="0.2">
      <c r="A216" t="s">
        <v>2</v>
      </c>
      <c r="B216" t="s">
        <v>92</v>
      </c>
      <c r="C216" s="1">
        <f t="shared" si="3"/>
        <v>0.43282407407407408</v>
      </c>
      <c r="D216">
        <v>368.7102539770824</v>
      </c>
    </row>
    <row r="217" spans="1:4" x14ac:dyDescent="0.2">
      <c r="A217" t="s">
        <v>2</v>
      </c>
      <c r="B217" t="s">
        <v>93</v>
      </c>
      <c r="C217" s="1">
        <f t="shared" si="3"/>
        <v>0.43283564814814812</v>
      </c>
      <c r="D217">
        <v>369.72551875915957</v>
      </c>
    </row>
    <row r="218" spans="1:4" x14ac:dyDescent="0.2">
      <c r="A218" t="s">
        <v>2</v>
      </c>
      <c r="B218" t="s">
        <v>94</v>
      </c>
      <c r="C218" s="1">
        <f t="shared" si="3"/>
        <v>0.43284722222222222</v>
      </c>
      <c r="D218">
        <v>364.14871129111179</v>
      </c>
    </row>
    <row r="219" spans="1:4" x14ac:dyDescent="0.2">
      <c r="A219" t="s">
        <v>2</v>
      </c>
      <c r="B219" t="s">
        <v>95</v>
      </c>
      <c r="C219" s="1">
        <f t="shared" si="3"/>
        <v>0.43285879629629631</v>
      </c>
      <c r="D219">
        <v>372.94395255350997</v>
      </c>
    </row>
    <row r="220" spans="1:4" x14ac:dyDescent="0.2">
      <c r="A220" t="s">
        <v>2</v>
      </c>
      <c r="B220" t="s">
        <v>96</v>
      </c>
      <c r="C220" s="1">
        <f t="shared" si="3"/>
        <v>0.43287037037037035</v>
      </c>
      <c r="D220">
        <v>376.41094728690251</v>
      </c>
    </row>
    <row r="221" spans="1:4" x14ac:dyDescent="0.2">
      <c r="A221" t="s">
        <v>2</v>
      </c>
      <c r="B221" t="s">
        <v>97</v>
      </c>
      <c r="C221" s="1">
        <f t="shared" si="3"/>
        <v>0.43288194444444444</v>
      </c>
      <c r="D221">
        <v>369.02896406903193</v>
      </c>
    </row>
    <row r="222" spans="1:4" x14ac:dyDescent="0.2">
      <c r="A222" t="s">
        <v>2</v>
      </c>
      <c r="B222" t="s">
        <v>98</v>
      </c>
      <c r="C222" s="1">
        <f t="shared" si="3"/>
        <v>0.43289351851851854</v>
      </c>
      <c r="D222">
        <v>381.34341839341732</v>
      </c>
    </row>
    <row r="223" spans="1:4" x14ac:dyDescent="0.2">
      <c r="A223" t="s">
        <v>2</v>
      </c>
      <c r="B223" t="s">
        <v>99</v>
      </c>
      <c r="C223" s="1">
        <f t="shared" si="3"/>
        <v>0.43290509259259258</v>
      </c>
      <c r="D223">
        <v>385.7135953651516</v>
      </c>
    </row>
    <row r="224" spans="1:4" x14ac:dyDescent="0.2">
      <c r="A224" t="s">
        <v>2</v>
      </c>
      <c r="B224" t="s">
        <v>100</v>
      </c>
      <c r="C224" s="1">
        <f t="shared" si="3"/>
        <v>0.43739583333333332</v>
      </c>
      <c r="D224">
        <v>254.73063830270527</v>
      </c>
    </row>
    <row r="225" spans="1:4" x14ac:dyDescent="0.2">
      <c r="A225" t="s">
        <v>2</v>
      </c>
      <c r="B225" t="s">
        <v>101</v>
      </c>
      <c r="C225" s="1">
        <f t="shared" si="3"/>
        <v>0.43740740740740741</v>
      </c>
      <c r="D225">
        <v>252.82643713935542</v>
      </c>
    </row>
    <row r="226" spans="1:4" x14ac:dyDescent="0.2">
      <c r="A226" t="s">
        <v>2</v>
      </c>
      <c r="B226" t="s">
        <v>102</v>
      </c>
      <c r="C226" s="1">
        <f t="shared" si="3"/>
        <v>0.44165509259259261</v>
      </c>
      <c r="D226">
        <v>434.54037966336909</v>
      </c>
    </row>
    <row r="227" spans="1:4" x14ac:dyDescent="0.2">
      <c r="A227" t="s">
        <v>3</v>
      </c>
      <c r="B227" t="s">
        <v>8</v>
      </c>
      <c r="C227" s="1">
        <f t="shared" si="3"/>
        <v>0.40699074074074076</v>
      </c>
      <c r="D227">
        <v>182.48870967683118</v>
      </c>
    </row>
    <row r="228" spans="1:4" x14ac:dyDescent="0.2">
      <c r="A228" t="s">
        <v>3</v>
      </c>
      <c r="B228" t="s">
        <v>9</v>
      </c>
      <c r="C228" s="1">
        <f t="shared" si="3"/>
        <v>0.41690972222222222</v>
      </c>
      <c r="D228">
        <v>179.07680474826896</v>
      </c>
    </row>
    <row r="229" spans="1:4" x14ac:dyDescent="0.2">
      <c r="A229" t="s">
        <v>3</v>
      </c>
      <c r="B229" t="s">
        <v>10</v>
      </c>
      <c r="C229" s="1">
        <f t="shared" si="3"/>
        <v>0.41692129629629632</v>
      </c>
      <c r="D229">
        <v>182.93008833770133</v>
      </c>
    </row>
    <row r="230" spans="1:4" x14ac:dyDescent="0.2">
      <c r="A230" t="s">
        <v>3</v>
      </c>
      <c r="B230" t="s">
        <v>11</v>
      </c>
      <c r="C230" s="1">
        <f t="shared" si="3"/>
        <v>0.41693287037037036</v>
      </c>
      <c r="D230">
        <v>208.9530085772362</v>
      </c>
    </row>
    <row r="231" spans="1:4" x14ac:dyDescent="0.2">
      <c r="A231" t="s">
        <v>3</v>
      </c>
      <c r="B231" t="s">
        <v>103</v>
      </c>
      <c r="C231" s="1">
        <f t="shared" si="3"/>
        <v>0.41694444444444445</v>
      </c>
      <c r="D231">
        <v>179.56721190718383</v>
      </c>
    </row>
    <row r="232" spans="1:4" x14ac:dyDescent="0.2">
      <c r="A232" t="s">
        <v>3</v>
      </c>
      <c r="B232" t="s">
        <v>139</v>
      </c>
      <c r="C232" s="1">
        <f t="shared" si="3"/>
        <v>0.41695601851851855</v>
      </c>
      <c r="D232">
        <v>196.62578707702912</v>
      </c>
    </row>
    <row r="233" spans="1:4" x14ac:dyDescent="0.2">
      <c r="A233" t="s">
        <v>3</v>
      </c>
      <c r="B233" t="s">
        <v>14</v>
      </c>
      <c r="C233" s="1">
        <f t="shared" si="3"/>
        <v>0.41976851851851854</v>
      </c>
      <c r="D233">
        <v>254.85073786715813</v>
      </c>
    </row>
    <row r="234" spans="1:4" x14ac:dyDescent="0.2">
      <c r="A234" t="s">
        <v>3</v>
      </c>
      <c r="B234" t="s">
        <v>15</v>
      </c>
      <c r="C234" s="1">
        <f t="shared" si="3"/>
        <v>0.41978009259259258</v>
      </c>
      <c r="D234">
        <v>200.7353138448145</v>
      </c>
    </row>
    <row r="235" spans="1:4" x14ac:dyDescent="0.2">
      <c r="A235" t="s">
        <v>3</v>
      </c>
      <c r="B235" t="s">
        <v>16</v>
      </c>
      <c r="C235" s="1">
        <f t="shared" si="3"/>
        <v>0.41979166666666667</v>
      </c>
      <c r="D235">
        <v>198.78138292295978</v>
      </c>
    </row>
    <row r="236" spans="1:4" x14ac:dyDescent="0.2">
      <c r="A236" t="s">
        <v>3</v>
      </c>
      <c r="B236" t="s">
        <v>17</v>
      </c>
      <c r="C236" s="1">
        <f t="shared" si="3"/>
        <v>0.41986111111111113</v>
      </c>
      <c r="D236">
        <v>218.72703843614295</v>
      </c>
    </row>
    <row r="237" spans="1:4" x14ac:dyDescent="0.2">
      <c r="A237" t="s">
        <v>3</v>
      </c>
      <c r="B237" t="s">
        <v>18</v>
      </c>
      <c r="C237" s="1">
        <f t="shared" si="3"/>
        <v>0.41987268518518517</v>
      </c>
      <c r="D237">
        <v>216.10759060254932</v>
      </c>
    </row>
    <row r="238" spans="1:4" x14ac:dyDescent="0.2">
      <c r="A238" t="s">
        <v>3</v>
      </c>
      <c r="B238" t="s">
        <v>20</v>
      </c>
      <c r="C238" s="1">
        <f t="shared" si="3"/>
        <v>0.4199074074074074</v>
      </c>
      <c r="D238">
        <v>202.91859773397724</v>
      </c>
    </row>
    <row r="239" spans="1:4" x14ac:dyDescent="0.2">
      <c r="A239" t="s">
        <v>3</v>
      </c>
      <c r="B239" t="s">
        <v>21</v>
      </c>
      <c r="C239" s="1">
        <f t="shared" si="3"/>
        <v>0.41991898148148149</v>
      </c>
      <c r="D239">
        <v>207.89849000685075</v>
      </c>
    </row>
    <row r="240" spans="1:4" x14ac:dyDescent="0.2">
      <c r="A240" t="s">
        <v>3</v>
      </c>
      <c r="B240" t="s">
        <v>23</v>
      </c>
      <c r="C240" s="1">
        <f t="shared" si="3"/>
        <v>0.41994212962962962</v>
      </c>
      <c r="D240">
        <v>233.85886255654887</v>
      </c>
    </row>
    <row r="241" spans="1:4" x14ac:dyDescent="0.2">
      <c r="A241" t="s">
        <v>3</v>
      </c>
      <c r="B241" t="s">
        <v>26</v>
      </c>
      <c r="C241" s="1">
        <f t="shared" si="3"/>
        <v>0.41997685185185185</v>
      </c>
      <c r="D241">
        <v>191.05478154254328</v>
      </c>
    </row>
    <row r="242" spans="1:4" x14ac:dyDescent="0.2">
      <c r="A242" t="s">
        <v>3</v>
      </c>
      <c r="B242" t="s">
        <v>27</v>
      </c>
      <c r="C242" s="1">
        <f t="shared" si="3"/>
        <v>0.41998842592592595</v>
      </c>
      <c r="D242">
        <v>185.24535576175549</v>
      </c>
    </row>
    <row r="243" spans="1:4" x14ac:dyDescent="0.2">
      <c r="A243" t="s">
        <v>3</v>
      </c>
      <c r="B243" t="s">
        <v>28</v>
      </c>
      <c r="C243" s="1">
        <f t="shared" si="3"/>
        <v>0.42</v>
      </c>
      <c r="D243">
        <v>179.80819809198368</v>
      </c>
    </row>
    <row r="244" spans="1:4" x14ac:dyDescent="0.2">
      <c r="A244" t="s">
        <v>3</v>
      </c>
      <c r="B244" t="s">
        <v>29</v>
      </c>
      <c r="C244" s="1">
        <f t="shared" si="3"/>
        <v>0.42001157407407408</v>
      </c>
      <c r="D244">
        <v>186.23391619622291</v>
      </c>
    </row>
    <row r="245" spans="1:4" x14ac:dyDescent="0.2">
      <c r="A245" t="s">
        <v>3</v>
      </c>
      <c r="B245" t="s">
        <v>30</v>
      </c>
      <c r="C245" s="1">
        <f t="shared" si="3"/>
        <v>0.42002314814814817</v>
      </c>
      <c r="D245">
        <v>216.2845122211142</v>
      </c>
    </row>
    <row r="246" spans="1:4" x14ac:dyDescent="0.2">
      <c r="A246" t="s">
        <v>3</v>
      </c>
      <c r="B246" t="s">
        <v>31</v>
      </c>
      <c r="C246" s="1">
        <f t="shared" si="3"/>
        <v>0.42003472222222221</v>
      </c>
      <c r="D246">
        <v>215.85154160895584</v>
      </c>
    </row>
    <row r="247" spans="1:4" x14ac:dyDescent="0.2">
      <c r="A247" t="s">
        <v>3</v>
      </c>
      <c r="B247" t="s">
        <v>32</v>
      </c>
      <c r="C247" s="1">
        <f t="shared" si="3"/>
        <v>0.42004629629629631</v>
      </c>
      <c r="D247">
        <v>209.33095184263999</v>
      </c>
    </row>
    <row r="248" spans="1:4" x14ac:dyDescent="0.2">
      <c r="A248" t="s">
        <v>3</v>
      </c>
      <c r="B248" t="s">
        <v>33</v>
      </c>
      <c r="C248" s="1">
        <f t="shared" si="3"/>
        <v>0.42005787037037035</v>
      </c>
      <c r="D248">
        <v>202.97746533509175</v>
      </c>
    </row>
    <row r="249" spans="1:4" x14ac:dyDescent="0.2">
      <c r="A249" t="s">
        <v>3</v>
      </c>
      <c r="B249" t="s">
        <v>34</v>
      </c>
      <c r="C249" s="1">
        <f t="shared" si="3"/>
        <v>0.42006944444444444</v>
      </c>
      <c r="D249">
        <v>193.98259018395899</v>
      </c>
    </row>
    <row r="250" spans="1:4" x14ac:dyDescent="0.2">
      <c r="A250" t="s">
        <v>3</v>
      </c>
      <c r="B250" t="s">
        <v>35</v>
      </c>
      <c r="C250" s="1">
        <f t="shared" si="3"/>
        <v>0.42008101851851853</v>
      </c>
      <c r="D250">
        <v>196.56632758422785</v>
      </c>
    </row>
    <row r="251" spans="1:4" x14ac:dyDescent="0.2">
      <c r="A251" t="s">
        <v>3</v>
      </c>
      <c r="B251" t="s">
        <v>36</v>
      </c>
      <c r="C251" s="1">
        <f t="shared" si="3"/>
        <v>0.42009259259259257</v>
      </c>
      <c r="D251">
        <v>214.85257679209403</v>
      </c>
    </row>
    <row r="252" spans="1:4" x14ac:dyDescent="0.2">
      <c r="A252" t="s">
        <v>3</v>
      </c>
      <c r="B252" t="s">
        <v>37</v>
      </c>
      <c r="C252" s="1">
        <f t="shared" si="3"/>
        <v>0.42010416666666667</v>
      </c>
      <c r="D252">
        <v>208.76445515772286</v>
      </c>
    </row>
    <row r="253" spans="1:4" x14ac:dyDescent="0.2">
      <c r="A253" t="s">
        <v>3</v>
      </c>
      <c r="B253" t="s">
        <v>38</v>
      </c>
      <c r="C253" s="1">
        <f t="shared" si="3"/>
        <v>0.42011574074074076</v>
      </c>
      <c r="D253">
        <v>204.02018690356792</v>
      </c>
    </row>
    <row r="254" spans="1:4" x14ac:dyDescent="0.2">
      <c r="A254" t="s">
        <v>3</v>
      </c>
      <c r="B254" t="s">
        <v>39</v>
      </c>
      <c r="C254" s="1">
        <f t="shared" si="3"/>
        <v>0.4201273148148148</v>
      </c>
      <c r="D254">
        <v>202.14760582221436</v>
      </c>
    </row>
    <row r="255" spans="1:4" x14ac:dyDescent="0.2">
      <c r="A255" t="s">
        <v>3</v>
      </c>
      <c r="B255" t="s">
        <v>40</v>
      </c>
      <c r="C255" s="1">
        <f t="shared" si="3"/>
        <v>0.4201388888888889</v>
      </c>
      <c r="D255">
        <v>206.92093293898009</v>
      </c>
    </row>
    <row r="256" spans="1:4" x14ac:dyDescent="0.2">
      <c r="A256" t="s">
        <v>3</v>
      </c>
      <c r="B256" t="s">
        <v>41</v>
      </c>
      <c r="C256" s="1">
        <f t="shared" si="3"/>
        <v>0.42015046296296299</v>
      </c>
      <c r="D256">
        <v>205.5384101736914</v>
      </c>
    </row>
    <row r="257" spans="1:4" x14ac:dyDescent="0.2">
      <c r="A257" t="s">
        <v>3</v>
      </c>
      <c r="B257" t="s">
        <v>42</v>
      </c>
      <c r="C257" s="1">
        <f t="shared" si="3"/>
        <v>0.42119212962962965</v>
      </c>
      <c r="D257">
        <v>265.535634316916</v>
      </c>
    </row>
    <row r="258" spans="1:4" x14ac:dyDescent="0.2">
      <c r="A258" t="s">
        <v>3</v>
      </c>
      <c r="B258" t="s">
        <v>110</v>
      </c>
      <c r="C258" s="1">
        <f t="shared" si="3"/>
        <v>0.42120370370370369</v>
      </c>
      <c r="D258">
        <v>269.37125199986747</v>
      </c>
    </row>
    <row r="259" spans="1:4" x14ac:dyDescent="0.2">
      <c r="A259" t="s">
        <v>3</v>
      </c>
      <c r="B259" t="s">
        <v>113</v>
      </c>
      <c r="C259" s="1">
        <f t="shared" si="3"/>
        <v>0.42123842592592592</v>
      </c>
      <c r="D259">
        <v>236.0134555971066</v>
      </c>
    </row>
    <row r="260" spans="1:4" x14ac:dyDescent="0.2">
      <c r="A260" t="s">
        <v>3</v>
      </c>
      <c r="B260" t="s">
        <v>114</v>
      </c>
      <c r="C260" s="1">
        <f t="shared" si="3"/>
        <v>0.42125000000000001</v>
      </c>
      <c r="D260">
        <v>248.53094252046972</v>
      </c>
    </row>
    <row r="261" spans="1:4" x14ac:dyDescent="0.2">
      <c r="A261" t="s">
        <v>3</v>
      </c>
      <c r="B261" t="s">
        <v>43</v>
      </c>
      <c r="C261" s="1">
        <f t="shared" ref="C261:C324" si="4">+TIME(HOUR(B261),MINUTE(B261),SECOND(B261))</f>
        <v>0.42129629629629628</v>
      </c>
      <c r="D261">
        <v>253.91314703982096</v>
      </c>
    </row>
    <row r="262" spans="1:4" x14ac:dyDescent="0.2">
      <c r="A262" t="s">
        <v>3</v>
      </c>
      <c r="B262" t="s">
        <v>44</v>
      </c>
      <c r="C262" s="1">
        <f t="shared" si="4"/>
        <v>0.4226273148148148</v>
      </c>
      <c r="D262">
        <v>275.21057591782954</v>
      </c>
    </row>
    <row r="263" spans="1:4" x14ac:dyDescent="0.2">
      <c r="A263" t="s">
        <v>3</v>
      </c>
      <c r="B263" t="s">
        <v>45</v>
      </c>
      <c r="C263" s="1">
        <f t="shared" si="4"/>
        <v>0.4226388888888889</v>
      </c>
      <c r="D263">
        <v>286.28063709269003</v>
      </c>
    </row>
    <row r="264" spans="1:4" x14ac:dyDescent="0.2">
      <c r="A264" t="s">
        <v>3</v>
      </c>
      <c r="B264" t="s">
        <v>46</v>
      </c>
      <c r="C264" s="1">
        <f t="shared" si="4"/>
        <v>0.42265046296296294</v>
      </c>
      <c r="D264">
        <v>275.34362428400556</v>
      </c>
    </row>
    <row r="265" spans="1:4" x14ac:dyDescent="0.2">
      <c r="A265" t="s">
        <v>3</v>
      </c>
      <c r="B265" t="s">
        <v>48</v>
      </c>
      <c r="C265" s="1">
        <f t="shared" si="4"/>
        <v>0.42267361111111112</v>
      </c>
      <c r="D265">
        <v>253.30948227578213</v>
      </c>
    </row>
    <row r="266" spans="1:4" x14ac:dyDescent="0.2">
      <c r="A266" t="s">
        <v>3</v>
      </c>
      <c r="B266" t="s">
        <v>49</v>
      </c>
      <c r="C266" s="1">
        <f t="shared" si="4"/>
        <v>0.42269675925925926</v>
      </c>
      <c r="D266">
        <v>252.93969026409118</v>
      </c>
    </row>
    <row r="267" spans="1:4" x14ac:dyDescent="0.2">
      <c r="A267" t="s">
        <v>3</v>
      </c>
      <c r="B267" t="s">
        <v>50</v>
      </c>
      <c r="C267" s="1">
        <f t="shared" si="4"/>
        <v>0.42270833333333335</v>
      </c>
      <c r="D267">
        <v>254.10061678468435</v>
      </c>
    </row>
    <row r="268" spans="1:4" x14ac:dyDescent="0.2">
      <c r="A268" t="s">
        <v>3</v>
      </c>
      <c r="B268" t="s">
        <v>51</v>
      </c>
      <c r="C268" s="1">
        <f t="shared" si="4"/>
        <v>0.42275462962962962</v>
      </c>
      <c r="D268">
        <v>255.60551816236514</v>
      </c>
    </row>
    <row r="269" spans="1:4" x14ac:dyDescent="0.2">
      <c r="A269" t="s">
        <v>3</v>
      </c>
      <c r="B269" t="s">
        <v>52</v>
      </c>
      <c r="C269" s="1">
        <f t="shared" si="4"/>
        <v>0.42276620370370371</v>
      </c>
      <c r="D269">
        <v>268.05994118924264</v>
      </c>
    </row>
    <row r="270" spans="1:4" x14ac:dyDescent="0.2">
      <c r="A270" t="s">
        <v>3</v>
      </c>
      <c r="B270" t="s">
        <v>53</v>
      </c>
      <c r="C270" s="1">
        <f t="shared" si="4"/>
        <v>0.42277777777777775</v>
      </c>
      <c r="D270">
        <v>273.36109499504391</v>
      </c>
    </row>
    <row r="271" spans="1:4" x14ac:dyDescent="0.2">
      <c r="A271" t="s">
        <v>3</v>
      </c>
      <c r="B271" t="s">
        <v>72</v>
      </c>
      <c r="C271" s="1">
        <f t="shared" si="4"/>
        <v>0.42571759259259262</v>
      </c>
      <c r="D271">
        <v>185.40232692376279</v>
      </c>
    </row>
    <row r="272" spans="1:4" x14ac:dyDescent="0.2">
      <c r="A272" t="s">
        <v>3</v>
      </c>
      <c r="B272" t="s">
        <v>73</v>
      </c>
      <c r="C272" s="1">
        <f t="shared" si="4"/>
        <v>0.42572916666666666</v>
      </c>
      <c r="D272">
        <v>187.51482053989881</v>
      </c>
    </row>
    <row r="273" spans="1:4" x14ac:dyDescent="0.2">
      <c r="A273" t="s">
        <v>3</v>
      </c>
      <c r="B273" t="s">
        <v>74</v>
      </c>
      <c r="C273" s="1">
        <f t="shared" si="4"/>
        <v>0.42574074074074075</v>
      </c>
      <c r="D273">
        <v>183.05267472943231</v>
      </c>
    </row>
    <row r="274" spans="1:4" x14ac:dyDescent="0.2">
      <c r="A274" t="s">
        <v>3</v>
      </c>
      <c r="B274" t="s">
        <v>75</v>
      </c>
      <c r="C274" s="1">
        <f t="shared" si="4"/>
        <v>0.42984953703703704</v>
      </c>
      <c r="D274">
        <v>152.54688508042318</v>
      </c>
    </row>
    <row r="275" spans="1:4" x14ac:dyDescent="0.2">
      <c r="A275" t="s">
        <v>3</v>
      </c>
      <c r="B275" t="s">
        <v>76</v>
      </c>
      <c r="C275" s="1">
        <f t="shared" si="4"/>
        <v>0.42986111111111114</v>
      </c>
      <c r="D275">
        <v>150.18747052368661</v>
      </c>
    </row>
    <row r="276" spans="1:4" x14ac:dyDescent="0.2">
      <c r="A276" t="s">
        <v>3</v>
      </c>
      <c r="B276" t="s">
        <v>77</v>
      </c>
      <c r="C276" s="1">
        <f t="shared" si="4"/>
        <v>0.42987268518518518</v>
      </c>
      <c r="D276">
        <v>151.08835580092421</v>
      </c>
    </row>
    <row r="277" spans="1:4" x14ac:dyDescent="0.2">
      <c r="A277" t="s">
        <v>3</v>
      </c>
      <c r="B277" t="s">
        <v>78</v>
      </c>
      <c r="C277" s="1">
        <f t="shared" si="4"/>
        <v>0.42988425925925927</v>
      </c>
      <c r="D277">
        <v>148.17513729074153</v>
      </c>
    </row>
    <row r="278" spans="1:4" x14ac:dyDescent="0.2">
      <c r="A278" t="s">
        <v>3</v>
      </c>
      <c r="B278" t="s">
        <v>79</v>
      </c>
      <c r="C278" s="1">
        <f t="shared" si="4"/>
        <v>0.42989583333333331</v>
      </c>
      <c r="D278">
        <v>145.74766281194792</v>
      </c>
    </row>
    <row r="279" spans="1:4" x14ac:dyDescent="0.2">
      <c r="A279" t="s">
        <v>3</v>
      </c>
      <c r="B279" t="s">
        <v>80</v>
      </c>
      <c r="C279" s="1">
        <f t="shared" si="4"/>
        <v>0.4299074074074074</v>
      </c>
      <c r="D279">
        <v>144.24829165638559</v>
      </c>
    </row>
    <row r="280" spans="1:4" x14ac:dyDescent="0.2">
      <c r="A280" t="s">
        <v>3</v>
      </c>
      <c r="B280" t="s">
        <v>81</v>
      </c>
      <c r="C280" s="1">
        <f t="shared" si="4"/>
        <v>0.4299189814814815</v>
      </c>
      <c r="D280">
        <v>144.34998607840393</v>
      </c>
    </row>
    <row r="281" spans="1:4" x14ac:dyDescent="0.2">
      <c r="A281" t="s">
        <v>3</v>
      </c>
      <c r="B281" t="s">
        <v>82</v>
      </c>
      <c r="C281" s="1">
        <f t="shared" si="4"/>
        <v>0.42993055555555554</v>
      </c>
      <c r="D281">
        <v>145.13208056614286</v>
      </c>
    </row>
    <row r="282" spans="1:4" x14ac:dyDescent="0.2">
      <c r="A282" t="s">
        <v>3</v>
      </c>
      <c r="B282" t="s">
        <v>83</v>
      </c>
      <c r="C282" s="1">
        <f t="shared" si="4"/>
        <v>0.43129629629629629</v>
      </c>
      <c r="D282">
        <v>194.05042915716263</v>
      </c>
    </row>
    <row r="283" spans="1:4" x14ac:dyDescent="0.2">
      <c r="A283" t="s">
        <v>3</v>
      </c>
      <c r="B283" t="s">
        <v>84</v>
      </c>
      <c r="C283" s="1">
        <f t="shared" si="4"/>
        <v>0.43130787037037038</v>
      </c>
      <c r="D283">
        <v>194.94122855348701</v>
      </c>
    </row>
    <row r="284" spans="1:4" x14ac:dyDescent="0.2">
      <c r="A284" t="s">
        <v>3</v>
      </c>
      <c r="B284" t="s">
        <v>85</v>
      </c>
      <c r="C284" s="1">
        <f t="shared" si="4"/>
        <v>0.43131944444444442</v>
      </c>
      <c r="D284">
        <v>193.9191250791805</v>
      </c>
    </row>
    <row r="285" spans="1:4" x14ac:dyDescent="0.2">
      <c r="A285" t="s">
        <v>3</v>
      </c>
      <c r="B285" t="s">
        <v>140</v>
      </c>
      <c r="C285" s="1">
        <f t="shared" si="4"/>
        <v>0.43133101851851852</v>
      </c>
      <c r="D285">
        <v>172.37190994233652</v>
      </c>
    </row>
    <row r="286" spans="1:4" x14ac:dyDescent="0.2">
      <c r="A286" t="s">
        <v>3</v>
      </c>
      <c r="B286" t="s">
        <v>141</v>
      </c>
      <c r="C286" s="1">
        <f t="shared" si="4"/>
        <v>0.43134259259259261</v>
      </c>
      <c r="D286">
        <v>196.34186661271383</v>
      </c>
    </row>
    <row r="287" spans="1:4" x14ac:dyDescent="0.2">
      <c r="A287" t="s">
        <v>3</v>
      </c>
      <c r="B287" t="s">
        <v>86</v>
      </c>
      <c r="C287" s="1">
        <f t="shared" si="4"/>
        <v>0.43275462962962963</v>
      </c>
      <c r="D287">
        <v>220.77925116727937</v>
      </c>
    </row>
    <row r="288" spans="1:4" x14ac:dyDescent="0.2">
      <c r="A288" t="s">
        <v>3</v>
      </c>
      <c r="B288" t="s">
        <v>87</v>
      </c>
      <c r="C288" s="1">
        <f t="shared" si="4"/>
        <v>0.43276620370370372</v>
      </c>
      <c r="D288">
        <v>214.05777617717288</v>
      </c>
    </row>
    <row r="289" spans="1:4" x14ac:dyDescent="0.2">
      <c r="A289" t="s">
        <v>3</v>
      </c>
      <c r="B289" t="s">
        <v>88</v>
      </c>
      <c r="C289" s="1">
        <f t="shared" si="4"/>
        <v>0.43277777777777776</v>
      </c>
      <c r="D289">
        <v>212.57133951748173</v>
      </c>
    </row>
    <row r="290" spans="1:4" x14ac:dyDescent="0.2">
      <c r="A290" t="s">
        <v>3</v>
      </c>
      <c r="B290" t="s">
        <v>89</v>
      </c>
      <c r="C290" s="1">
        <f t="shared" si="4"/>
        <v>0.43278935185185186</v>
      </c>
      <c r="D290">
        <v>211.72628971285363</v>
      </c>
    </row>
    <row r="291" spans="1:4" x14ac:dyDescent="0.2">
      <c r="A291" t="s">
        <v>3</v>
      </c>
      <c r="B291" t="s">
        <v>90</v>
      </c>
      <c r="C291" s="1">
        <f t="shared" si="4"/>
        <v>0.43280092592592595</v>
      </c>
      <c r="D291">
        <v>186.45273393761076</v>
      </c>
    </row>
    <row r="292" spans="1:4" x14ac:dyDescent="0.2">
      <c r="A292" t="s">
        <v>3</v>
      </c>
      <c r="B292" t="s">
        <v>91</v>
      </c>
      <c r="C292" s="1">
        <f t="shared" si="4"/>
        <v>0.43281249999999999</v>
      </c>
      <c r="D292">
        <v>185.55708712066615</v>
      </c>
    </row>
    <row r="293" spans="1:4" x14ac:dyDescent="0.2">
      <c r="A293" t="s">
        <v>3</v>
      </c>
      <c r="B293" t="s">
        <v>92</v>
      </c>
      <c r="C293" s="1">
        <f t="shared" si="4"/>
        <v>0.43282407407407408</v>
      </c>
      <c r="D293">
        <v>215.15215535060258</v>
      </c>
    </row>
    <row r="294" spans="1:4" x14ac:dyDescent="0.2">
      <c r="A294" t="s">
        <v>3</v>
      </c>
      <c r="B294" t="s">
        <v>93</v>
      </c>
      <c r="C294" s="1">
        <f t="shared" si="4"/>
        <v>0.43283564814814812</v>
      </c>
      <c r="D294">
        <v>194.91404310176185</v>
      </c>
    </row>
    <row r="295" spans="1:4" x14ac:dyDescent="0.2">
      <c r="A295" t="s">
        <v>3</v>
      </c>
      <c r="B295" t="s">
        <v>94</v>
      </c>
      <c r="C295" s="1">
        <f t="shared" si="4"/>
        <v>0.43284722222222222</v>
      </c>
      <c r="D295">
        <v>206.71900576013999</v>
      </c>
    </row>
    <row r="296" spans="1:4" x14ac:dyDescent="0.2">
      <c r="A296" t="s">
        <v>3</v>
      </c>
      <c r="B296" t="s">
        <v>95</v>
      </c>
      <c r="C296" s="1">
        <f t="shared" si="4"/>
        <v>0.43285879629629631</v>
      </c>
      <c r="D296">
        <v>216.40721793993518</v>
      </c>
    </row>
    <row r="297" spans="1:4" x14ac:dyDescent="0.2">
      <c r="A297" t="s">
        <v>3</v>
      </c>
      <c r="B297" t="s">
        <v>96</v>
      </c>
      <c r="C297" s="1">
        <f t="shared" si="4"/>
        <v>0.43287037037037035</v>
      </c>
      <c r="D297">
        <v>217.55629287528632</v>
      </c>
    </row>
    <row r="298" spans="1:4" x14ac:dyDescent="0.2">
      <c r="A298" t="s">
        <v>3</v>
      </c>
      <c r="B298" t="s">
        <v>97</v>
      </c>
      <c r="C298" s="1">
        <f t="shared" si="4"/>
        <v>0.43288194444444444</v>
      </c>
      <c r="D298">
        <v>174.5395099770958</v>
      </c>
    </row>
    <row r="299" spans="1:4" x14ac:dyDescent="0.2">
      <c r="A299" t="s">
        <v>3</v>
      </c>
      <c r="B299" t="s">
        <v>98</v>
      </c>
      <c r="C299" s="1">
        <f t="shared" si="4"/>
        <v>0.43289351851851854</v>
      </c>
      <c r="D299">
        <v>160.78032730544317</v>
      </c>
    </row>
    <row r="300" spans="1:4" x14ac:dyDescent="0.2">
      <c r="A300" t="s">
        <v>3</v>
      </c>
      <c r="B300" t="s">
        <v>99</v>
      </c>
      <c r="C300" s="1">
        <f t="shared" si="4"/>
        <v>0.43290509259259258</v>
      </c>
      <c r="D300">
        <v>122.78669762651063</v>
      </c>
    </row>
    <row r="301" spans="1:4" x14ac:dyDescent="0.2">
      <c r="A301" t="s">
        <v>3</v>
      </c>
      <c r="B301" t="s">
        <v>100</v>
      </c>
      <c r="C301" s="1">
        <f t="shared" si="4"/>
        <v>0.43739583333333332</v>
      </c>
      <c r="D301">
        <v>213.88515675685446</v>
      </c>
    </row>
    <row r="302" spans="1:4" x14ac:dyDescent="0.2">
      <c r="A302" t="s">
        <v>3</v>
      </c>
      <c r="B302" t="s">
        <v>101</v>
      </c>
      <c r="C302" s="1">
        <f t="shared" si="4"/>
        <v>0.43740740740740741</v>
      </c>
      <c r="D302">
        <v>214.47477543049163</v>
      </c>
    </row>
    <row r="303" spans="1:4" x14ac:dyDescent="0.2">
      <c r="A303" t="s">
        <v>3</v>
      </c>
      <c r="B303" t="s">
        <v>102</v>
      </c>
      <c r="C303" s="1">
        <f t="shared" si="4"/>
        <v>0.44165509259259261</v>
      </c>
      <c r="D303">
        <v>268.50728090693366</v>
      </c>
    </row>
    <row r="304" spans="1:4" x14ac:dyDescent="0.2">
      <c r="A304" t="s">
        <v>4</v>
      </c>
      <c r="B304" t="s">
        <v>8</v>
      </c>
      <c r="C304" s="1">
        <f t="shared" si="4"/>
        <v>0.40699074074074076</v>
      </c>
      <c r="D304">
        <v>286.57322380534544</v>
      </c>
    </row>
    <row r="305" spans="1:4" x14ac:dyDescent="0.2">
      <c r="A305" t="s">
        <v>4</v>
      </c>
      <c r="B305" t="s">
        <v>14</v>
      </c>
      <c r="C305" s="1">
        <f t="shared" si="4"/>
        <v>0.41976851851851854</v>
      </c>
      <c r="D305">
        <v>331.54912351445961</v>
      </c>
    </row>
    <row r="306" spans="1:4" x14ac:dyDescent="0.2">
      <c r="A306" t="s">
        <v>4</v>
      </c>
      <c r="B306" t="s">
        <v>15</v>
      </c>
      <c r="C306" s="1">
        <f t="shared" si="4"/>
        <v>0.41978009259259258</v>
      </c>
      <c r="D306">
        <v>303.05222591665665</v>
      </c>
    </row>
    <row r="307" spans="1:4" x14ac:dyDescent="0.2">
      <c r="A307" t="s">
        <v>4</v>
      </c>
      <c r="B307" t="s">
        <v>16</v>
      </c>
      <c r="C307" s="1">
        <f t="shared" si="4"/>
        <v>0.41979166666666667</v>
      </c>
      <c r="D307">
        <v>294.75707877931961</v>
      </c>
    </row>
    <row r="308" spans="1:4" x14ac:dyDescent="0.2">
      <c r="A308" t="s">
        <v>4</v>
      </c>
      <c r="B308" t="s">
        <v>17</v>
      </c>
      <c r="C308" s="1">
        <f t="shared" si="4"/>
        <v>0.41986111111111113</v>
      </c>
      <c r="D308">
        <v>326.07128995914445</v>
      </c>
    </row>
    <row r="309" spans="1:4" x14ac:dyDescent="0.2">
      <c r="A309" t="s">
        <v>4</v>
      </c>
      <c r="B309" t="s">
        <v>18</v>
      </c>
      <c r="C309" s="1">
        <f t="shared" si="4"/>
        <v>0.41987268518518517</v>
      </c>
      <c r="D309">
        <v>330.36943778179824</v>
      </c>
    </row>
    <row r="310" spans="1:4" x14ac:dyDescent="0.2">
      <c r="A310" t="s">
        <v>4</v>
      </c>
      <c r="B310" t="s">
        <v>20</v>
      </c>
      <c r="C310" s="1">
        <f t="shared" si="4"/>
        <v>0.4199074074074074</v>
      </c>
      <c r="D310">
        <v>329.18737187030962</v>
      </c>
    </row>
    <row r="311" spans="1:4" x14ac:dyDescent="0.2">
      <c r="A311" t="s">
        <v>4</v>
      </c>
      <c r="B311" t="s">
        <v>21</v>
      </c>
      <c r="C311" s="1">
        <f t="shared" si="4"/>
        <v>0.41991898148148149</v>
      </c>
      <c r="D311">
        <v>330.52079291823242</v>
      </c>
    </row>
    <row r="312" spans="1:4" x14ac:dyDescent="0.2">
      <c r="A312" t="s">
        <v>4</v>
      </c>
      <c r="B312" t="s">
        <v>23</v>
      </c>
      <c r="C312" s="1">
        <f t="shared" si="4"/>
        <v>0.41994212962962962</v>
      </c>
      <c r="D312">
        <v>363.71067923854275</v>
      </c>
    </row>
    <row r="313" spans="1:4" x14ac:dyDescent="0.2">
      <c r="A313" t="s">
        <v>4</v>
      </c>
      <c r="B313" t="s">
        <v>24</v>
      </c>
      <c r="C313" s="1">
        <f t="shared" si="4"/>
        <v>0.41995370370370372</v>
      </c>
      <c r="D313">
        <v>333.73395855531697</v>
      </c>
    </row>
    <row r="314" spans="1:4" x14ac:dyDescent="0.2">
      <c r="A314" t="s">
        <v>4</v>
      </c>
      <c r="B314" t="s">
        <v>25</v>
      </c>
      <c r="C314" s="1">
        <f t="shared" si="4"/>
        <v>0.41996527777777776</v>
      </c>
      <c r="D314">
        <v>334.74395213708368</v>
      </c>
    </row>
    <row r="315" spans="1:4" x14ac:dyDescent="0.2">
      <c r="A315" t="s">
        <v>4</v>
      </c>
      <c r="B315" t="s">
        <v>26</v>
      </c>
      <c r="C315" s="1">
        <f t="shared" si="4"/>
        <v>0.41997685185185185</v>
      </c>
      <c r="D315">
        <v>339.43941674482124</v>
      </c>
    </row>
    <row r="316" spans="1:4" x14ac:dyDescent="0.2">
      <c r="A316" t="s">
        <v>4</v>
      </c>
      <c r="B316" t="s">
        <v>27</v>
      </c>
      <c r="C316" s="1">
        <f t="shared" si="4"/>
        <v>0.41998842592592595</v>
      </c>
      <c r="D316">
        <v>337.1318985383283</v>
      </c>
    </row>
    <row r="317" spans="1:4" x14ac:dyDescent="0.2">
      <c r="A317" t="s">
        <v>4</v>
      </c>
      <c r="B317" t="s">
        <v>28</v>
      </c>
      <c r="C317" s="1">
        <f t="shared" si="4"/>
        <v>0.42</v>
      </c>
      <c r="D317">
        <v>337.32473951650508</v>
      </c>
    </row>
    <row r="318" spans="1:4" x14ac:dyDescent="0.2">
      <c r="A318" t="s">
        <v>4</v>
      </c>
      <c r="B318" t="s">
        <v>29</v>
      </c>
      <c r="C318" s="1">
        <f t="shared" si="4"/>
        <v>0.42001157407407408</v>
      </c>
      <c r="D318">
        <v>340.13071753871668</v>
      </c>
    </row>
    <row r="319" spans="1:4" x14ac:dyDescent="0.2">
      <c r="A319" t="s">
        <v>4</v>
      </c>
      <c r="B319" t="s">
        <v>30</v>
      </c>
      <c r="C319" s="1">
        <f t="shared" si="4"/>
        <v>0.42002314814814817</v>
      </c>
      <c r="D319">
        <v>353.91099212886115</v>
      </c>
    </row>
    <row r="320" spans="1:4" x14ac:dyDescent="0.2">
      <c r="A320" t="s">
        <v>4</v>
      </c>
      <c r="B320" t="s">
        <v>31</v>
      </c>
      <c r="C320" s="1">
        <f t="shared" si="4"/>
        <v>0.42003472222222221</v>
      </c>
      <c r="D320">
        <v>322.8341499697728</v>
      </c>
    </row>
    <row r="321" spans="1:4" x14ac:dyDescent="0.2">
      <c r="A321" t="s">
        <v>4</v>
      </c>
      <c r="B321" t="s">
        <v>32</v>
      </c>
      <c r="C321" s="1">
        <f t="shared" si="4"/>
        <v>0.42004629629629631</v>
      </c>
      <c r="D321">
        <v>333.33949932346832</v>
      </c>
    </row>
    <row r="322" spans="1:4" x14ac:dyDescent="0.2">
      <c r="A322" t="s">
        <v>4</v>
      </c>
      <c r="B322" t="s">
        <v>33</v>
      </c>
      <c r="C322" s="1">
        <f t="shared" si="4"/>
        <v>0.42005787037037035</v>
      </c>
      <c r="D322">
        <v>344.94476087659973</v>
      </c>
    </row>
    <row r="323" spans="1:4" x14ac:dyDescent="0.2">
      <c r="A323" t="s">
        <v>4</v>
      </c>
      <c r="B323" t="s">
        <v>34</v>
      </c>
      <c r="C323" s="1">
        <f t="shared" si="4"/>
        <v>0.42006944444444444</v>
      </c>
      <c r="D323">
        <v>343.65599700772162</v>
      </c>
    </row>
    <row r="324" spans="1:4" x14ac:dyDescent="0.2">
      <c r="A324" t="s">
        <v>4</v>
      </c>
      <c r="B324" t="s">
        <v>35</v>
      </c>
      <c r="C324" s="1">
        <f t="shared" si="4"/>
        <v>0.42008101851851853</v>
      </c>
      <c r="D324">
        <v>342.07672352519836</v>
      </c>
    </row>
    <row r="325" spans="1:4" x14ac:dyDescent="0.2">
      <c r="A325" t="s">
        <v>4</v>
      </c>
      <c r="B325" t="s">
        <v>36</v>
      </c>
      <c r="C325" s="1">
        <f t="shared" ref="C325:C388" si="5">+TIME(HOUR(B325),MINUTE(B325),SECOND(B325))</f>
        <v>0.42009259259259257</v>
      </c>
      <c r="D325">
        <v>351.43271500274761</v>
      </c>
    </row>
    <row r="326" spans="1:4" x14ac:dyDescent="0.2">
      <c r="A326" t="s">
        <v>4</v>
      </c>
      <c r="B326" t="s">
        <v>37</v>
      </c>
      <c r="C326" s="1">
        <f t="shared" si="5"/>
        <v>0.42010416666666667</v>
      </c>
      <c r="D326">
        <v>348.21796106118637</v>
      </c>
    </row>
    <row r="327" spans="1:4" x14ac:dyDescent="0.2">
      <c r="A327" t="s">
        <v>4</v>
      </c>
      <c r="B327" t="s">
        <v>38</v>
      </c>
      <c r="C327" s="1">
        <f t="shared" si="5"/>
        <v>0.42011574074074076</v>
      </c>
      <c r="D327">
        <v>343.83586471507766</v>
      </c>
    </row>
    <row r="328" spans="1:4" x14ac:dyDescent="0.2">
      <c r="A328" t="s">
        <v>4</v>
      </c>
      <c r="B328" t="s">
        <v>39</v>
      </c>
      <c r="C328" s="1">
        <f t="shared" si="5"/>
        <v>0.4201273148148148</v>
      </c>
      <c r="D328">
        <v>345.79747300962003</v>
      </c>
    </row>
    <row r="329" spans="1:4" x14ac:dyDescent="0.2">
      <c r="A329" t="s">
        <v>4</v>
      </c>
      <c r="B329" t="s">
        <v>40</v>
      </c>
      <c r="C329" s="1">
        <f t="shared" si="5"/>
        <v>0.4201388888888889</v>
      </c>
      <c r="D329">
        <v>351.54471157181342</v>
      </c>
    </row>
    <row r="330" spans="1:4" x14ac:dyDescent="0.2">
      <c r="A330" t="s">
        <v>4</v>
      </c>
      <c r="B330" t="s">
        <v>41</v>
      </c>
      <c r="C330" s="1">
        <f t="shared" si="5"/>
        <v>0.42015046296296299</v>
      </c>
      <c r="D330">
        <v>344.50480056396134</v>
      </c>
    </row>
    <row r="331" spans="1:4" x14ac:dyDescent="0.2">
      <c r="A331" t="s">
        <v>4</v>
      </c>
      <c r="B331" t="s">
        <v>42</v>
      </c>
      <c r="C331" s="1">
        <f t="shared" si="5"/>
        <v>0.42119212962962965</v>
      </c>
      <c r="D331">
        <v>542.67656693957974</v>
      </c>
    </row>
    <row r="332" spans="1:4" x14ac:dyDescent="0.2">
      <c r="A332" t="s">
        <v>4</v>
      </c>
      <c r="B332" t="s">
        <v>110</v>
      </c>
      <c r="C332" s="1">
        <f t="shared" si="5"/>
        <v>0.42120370370370369</v>
      </c>
      <c r="D332">
        <v>515.92798616092637</v>
      </c>
    </row>
    <row r="333" spans="1:4" x14ac:dyDescent="0.2">
      <c r="A333" t="s">
        <v>4</v>
      </c>
      <c r="B333" t="s">
        <v>111</v>
      </c>
      <c r="C333" s="1">
        <f t="shared" si="5"/>
        <v>0.42121527777777779</v>
      </c>
      <c r="D333">
        <v>525.101338690803</v>
      </c>
    </row>
    <row r="334" spans="1:4" x14ac:dyDescent="0.2">
      <c r="A334" t="s">
        <v>4</v>
      </c>
      <c r="B334" t="s">
        <v>112</v>
      </c>
      <c r="C334" s="1">
        <f t="shared" si="5"/>
        <v>0.42122685185185182</v>
      </c>
      <c r="D334">
        <v>553.9629198707554</v>
      </c>
    </row>
    <row r="335" spans="1:4" x14ac:dyDescent="0.2">
      <c r="A335" t="s">
        <v>4</v>
      </c>
      <c r="B335" t="s">
        <v>113</v>
      </c>
      <c r="C335" s="1">
        <f t="shared" si="5"/>
        <v>0.42123842592592592</v>
      </c>
      <c r="D335">
        <v>536.81967972940186</v>
      </c>
    </row>
    <row r="336" spans="1:4" x14ac:dyDescent="0.2">
      <c r="A336" t="s">
        <v>4</v>
      </c>
      <c r="B336" t="s">
        <v>116</v>
      </c>
      <c r="C336" s="1">
        <f t="shared" si="5"/>
        <v>0.42127314814814815</v>
      </c>
      <c r="D336">
        <v>508.54724321530864</v>
      </c>
    </row>
    <row r="337" spans="1:4" x14ac:dyDescent="0.2">
      <c r="A337" t="s">
        <v>4</v>
      </c>
      <c r="B337" t="s">
        <v>43</v>
      </c>
      <c r="C337" s="1">
        <f t="shared" si="5"/>
        <v>0.42129629629629628</v>
      </c>
      <c r="D337">
        <v>509.49838741972155</v>
      </c>
    </row>
    <row r="338" spans="1:4" x14ac:dyDescent="0.2">
      <c r="A338" t="s">
        <v>4</v>
      </c>
      <c r="B338" t="s">
        <v>44</v>
      </c>
      <c r="C338" s="1">
        <f t="shared" si="5"/>
        <v>0.4226273148148148</v>
      </c>
      <c r="D338">
        <v>476.43172203308876</v>
      </c>
    </row>
    <row r="339" spans="1:4" x14ac:dyDescent="0.2">
      <c r="A339" t="s">
        <v>4</v>
      </c>
      <c r="B339" t="s">
        <v>45</v>
      </c>
      <c r="C339" s="1">
        <f t="shared" si="5"/>
        <v>0.4226388888888889</v>
      </c>
      <c r="D339">
        <v>508.2780780145244</v>
      </c>
    </row>
    <row r="340" spans="1:4" x14ac:dyDescent="0.2">
      <c r="A340" t="s">
        <v>4</v>
      </c>
      <c r="B340" t="s">
        <v>46</v>
      </c>
      <c r="C340" s="1">
        <f t="shared" si="5"/>
        <v>0.42265046296296294</v>
      </c>
      <c r="D340">
        <v>493.55430373669515</v>
      </c>
    </row>
    <row r="341" spans="1:4" x14ac:dyDescent="0.2">
      <c r="A341" t="s">
        <v>4</v>
      </c>
      <c r="B341" t="s">
        <v>48</v>
      </c>
      <c r="C341" s="1">
        <f t="shared" si="5"/>
        <v>0.42267361111111112</v>
      </c>
      <c r="D341">
        <v>499.55576685090682</v>
      </c>
    </row>
    <row r="342" spans="1:4" x14ac:dyDescent="0.2">
      <c r="A342" t="s">
        <v>4</v>
      </c>
      <c r="B342" t="s">
        <v>49</v>
      </c>
      <c r="C342" s="1">
        <f t="shared" si="5"/>
        <v>0.42269675925925926</v>
      </c>
      <c r="D342">
        <v>508.69155395705207</v>
      </c>
    </row>
    <row r="343" spans="1:4" x14ac:dyDescent="0.2">
      <c r="A343" t="s">
        <v>4</v>
      </c>
      <c r="B343" t="s">
        <v>50</v>
      </c>
      <c r="C343" s="1">
        <f t="shared" si="5"/>
        <v>0.42270833333333335</v>
      </c>
      <c r="D343">
        <v>502.47000413651807</v>
      </c>
    </row>
    <row r="344" spans="1:4" x14ac:dyDescent="0.2">
      <c r="A344" t="s">
        <v>4</v>
      </c>
      <c r="B344" t="s">
        <v>51</v>
      </c>
      <c r="C344" s="1">
        <f t="shared" si="5"/>
        <v>0.42275462962962962</v>
      </c>
      <c r="D344">
        <v>502.17651621437392</v>
      </c>
    </row>
    <row r="345" spans="1:4" x14ac:dyDescent="0.2">
      <c r="A345" t="s">
        <v>4</v>
      </c>
      <c r="B345" t="s">
        <v>52</v>
      </c>
      <c r="C345" s="1">
        <f t="shared" si="5"/>
        <v>0.42276620370370371</v>
      </c>
      <c r="D345">
        <v>510.95261816666914</v>
      </c>
    </row>
    <row r="346" spans="1:4" x14ac:dyDescent="0.2">
      <c r="A346" t="s">
        <v>4</v>
      </c>
      <c r="B346" t="s">
        <v>53</v>
      </c>
      <c r="C346" s="1">
        <f t="shared" si="5"/>
        <v>0.42277777777777775</v>
      </c>
      <c r="D346">
        <v>502.79133084843875</v>
      </c>
    </row>
    <row r="347" spans="1:4" x14ac:dyDescent="0.2">
      <c r="A347" t="s">
        <v>4</v>
      </c>
      <c r="B347" t="s">
        <v>118</v>
      </c>
      <c r="C347" s="1">
        <f t="shared" si="5"/>
        <v>0.42280092592592594</v>
      </c>
      <c r="D347">
        <v>466.42418329123035</v>
      </c>
    </row>
    <row r="348" spans="1:4" x14ac:dyDescent="0.2">
      <c r="A348" t="s">
        <v>4</v>
      </c>
      <c r="B348" t="s">
        <v>119</v>
      </c>
      <c r="C348" s="1">
        <f t="shared" si="5"/>
        <v>0.42281249999999998</v>
      </c>
      <c r="D348">
        <v>442.37819079847804</v>
      </c>
    </row>
    <row r="349" spans="1:4" x14ac:dyDescent="0.2">
      <c r="A349" t="s">
        <v>4</v>
      </c>
      <c r="B349" t="s">
        <v>120</v>
      </c>
      <c r="C349" s="1">
        <f t="shared" si="5"/>
        <v>0.42282407407407407</v>
      </c>
      <c r="D349">
        <v>447.28915783651667</v>
      </c>
    </row>
    <row r="350" spans="1:4" x14ac:dyDescent="0.2">
      <c r="A350" t="s">
        <v>4</v>
      </c>
      <c r="B350" t="s">
        <v>54</v>
      </c>
      <c r="C350" s="1">
        <f t="shared" si="5"/>
        <v>0.42283564814814817</v>
      </c>
      <c r="D350">
        <v>458.00184477098139</v>
      </c>
    </row>
    <row r="351" spans="1:4" x14ac:dyDescent="0.2">
      <c r="A351" t="s">
        <v>4</v>
      </c>
      <c r="B351" t="s">
        <v>55</v>
      </c>
      <c r="C351" s="1">
        <f t="shared" si="5"/>
        <v>0.42284722222222221</v>
      </c>
      <c r="D351">
        <v>443.57761621691191</v>
      </c>
    </row>
    <row r="352" spans="1:4" x14ac:dyDescent="0.2">
      <c r="A352" t="s">
        <v>4</v>
      </c>
      <c r="B352" t="s">
        <v>64</v>
      </c>
      <c r="C352" s="1">
        <f t="shared" si="5"/>
        <v>0.42434027777777777</v>
      </c>
      <c r="D352">
        <v>324.96901116481547</v>
      </c>
    </row>
    <row r="353" spans="1:4" x14ac:dyDescent="0.2">
      <c r="A353" t="s">
        <v>4</v>
      </c>
      <c r="B353" t="s">
        <v>65</v>
      </c>
      <c r="C353" s="1">
        <f t="shared" si="5"/>
        <v>0.42435185185185187</v>
      </c>
      <c r="D353">
        <v>326.80690874499322</v>
      </c>
    </row>
    <row r="354" spans="1:4" x14ac:dyDescent="0.2">
      <c r="A354" t="s">
        <v>4</v>
      </c>
      <c r="B354" t="s">
        <v>69</v>
      </c>
      <c r="C354" s="1">
        <f t="shared" si="5"/>
        <v>0.42446759259259259</v>
      </c>
      <c r="D354">
        <v>323.11541420267804</v>
      </c>
    </row>
    <row r="355" spans="1:4" x14ac:dyDescent="0.2">
      <c r="A355" t="s">
        <v>4</v>
      </c>
      <c r="B355" t="s">
        <v>72</v>
      </c>
      <c r="C355" s="1">
        <f t="shared" si="5"/>
        <v>0.42571759259259262</v>
      </c>
      <c r="D355">
        <v>406.37243854636489</v>
      </c>
    </row>
    <row r="356" spans="1:4" x14ac:dyDescent="0.2">
      <c r="A356" t="s">
        <v>4</v>
      </c>
      <c r="B356" t="s">
        <v>73</v>
      </c>
      <c r="C356" s="1">
        <f t="shared" si="5"/>
        <v>0.42572916666666666</v>
      </c>
      <c r="D356">
        <v>401.87359771603997</v>
      </c>
    </row>
    <row r="357" spans="1:4" x14ac:dyDescent="0.2">
      <c r="A357" t="s">
        <v>4</v>
      </c>
      <c r="B357" t="s">
        <v>74</v>
      </c>
      <c r="C357" s="1">
        <f t="shared" si="5"/>
        <v>0.42574074074074075</v>
      </c>
      <c r="D357">
        <v>395.76666515519952</v>
      </c>
    </row>
    <row r="358" spans="1:4" x14ac:dyDescent="0.2">
      <c r="A358" t="s">
        <v>4</v>
      </c>
      <c r="B358" t="s">
        <v>75</v>
      </c>
      <c r="C358" s="1">
        <f t="shared" si="5"/>
        <v>0.42984953703703704</v>
      </c>
      <c r="D358">
        <v>286.96304675614778</v>
      </c>
    </row>
    <row r="359" spans="1:4" x14ac:dyDescent="0.2">
      <c r="A359" t="s">
        <v>4</v>
      </c>
      <c r="B359" t="s">
        <v>76</v>
      </c>
      <c r="C359" s="1">
        <f t="shared" si="5"/>
        <v>0.42986111111111114</v>
      </c>
      <c r="D359">
        <v>280.55236501671197</v>
      </c>
    </row>
    <row r="360" spans="1:4" x14ac:dyDescent="0.2">
      <c r="A360" t="s">
        <v>4</v>
      </c>
      <c r="B360" t="s">
        <v>77</v>
      </c>
      <c r="C360" s="1">
        <f t="shared" si="5"/>
        <v>0.42987268518518518</v>
      </c>
      <c r="D360">
        <v>291.35395992073433</v>
      </c>
    </row>
    <row r="361" spans="1:4" x14ac:dyDescent="0.2">
      <c r="A361" t="s">
        <v>4</v>
      </c>
      <c r="B361" t="s">
        <v>78</v>
      </c>
      <c r="C361" s="1">
        <f t="shared" si="5"/>
        <v>0.42988425925925927</v>
      </c>
      <c r="D361">
        <v>290.13361695376739</v>
      </c>
    </row>
    <row r="362" spans="1:4" x14ac:dyDescent="0.2">
      <c r="A362" t="s">
        <v>4</v>
      </c>
      <c r="B362" t="s">
        <v>79</v>
      </c>
      <c r="C362" s="1">
        <f t="shared" si="5"/>
        <v>0.42989583333333331</v>
      </c>
      <c r="D362">
        <v>281.73722870119366</v>
      </c>
    </row>
    <row r="363" spans="1:4" x14ac:dyDescent="0.2">
      <c r="A363" t="s">
        <v>4</v>
      </c>
      <c r="B363" t="s">
        <v>80</v>
      </c>
      <c r="C363" s="1">
        <f t="shared" si="5"/>
        <v>0.4299074074074074</v>
      </c>
      <c r="D363">
        <v>277.99508701373895</v>
      </c>
    </row>
    <row r="364" spans="1:4" x14ac:dyDescent="0.2">
      <c r="A364" t="s">
        <v>4</v>
      </c>
      <c r="B364" t="s">
        <v>81</v>
      </c>
      <c r="C364" s="1">
        <f t="shared" si="5"/>
        <v>0.4299189814814815</v>
      </c>
      <c r="D364">
        <v>268.91922063193874</v>
      </c>
    </row>
    <row r="365" spans="1:4" x14ac:dyDescent="0.2">
      <c r="A365" t="s">
        <v>4</v>
      </c>
      <c r="B365" t="s">
        <v>82</v>
      </c>
      <c r="C365" s="1">
        <f t="shared" si="5"/>
        <v>0.42993055555555554</v>
      </c>
      <c r="D365">
        <v>281.39958407729762</v>
      </c>
    </row>
    <row r="366" spans="1:4" x14ac:dyDescent="0.2">
      <c r="A366" t="s">
        <v>4</v>
      </c>
      <c r="B366" t="s">
        <v>83</v>
      </c>
      <c r="C366" s="1">
        <f t="shared" si="5"/>
        <v>0.43129629629629629</v>
      </c>
      <c r="D366">
        <v>314.32342243201242</v>
      </c>
    </row>
    <row r="367" spans="1:4" x14ac:dyDescent="0.2">
      <c r="A367" t="s">
        <v>4</v>
      </c>
      <c r="B367" t="s">
        <v>84</v>
      </c>
      <c r="C367" s="1">
        <f t="shared" si="5"/>
        <v>0.43130787037037038</v>
      </c>
      <c r="D367">
        <v>314.25220161748422</v>
      </c>
    </row>
    <row r="368" spans="1:4" x14ac:dyDescent="0.2">
      <c r="A368" t="s">
        <v>4</v>
      </c>
      <c r="B368" t="s">
        <v>85</v>
      </c>
      <c r="C368" s="1">
        <f t="shared" si="5"/>
        <v>0.43131944444444442</v>
      </c>
      <c r="D368">
        <v>306.42158359214977</v>
      </c>
    </row>
    <row r="369" spans="1:4" x14ac:dyDescent="0.2">
      <c r="A369" t="s">
        <v>4</v>
      </c>
      <c r="B369" t="s">
        <v>86</v>
      </c>
      <c r="C369" s="1">
        <f t="shared" si="5"/>
        <v>0.43275462962962963</v>
      </c>
      <c r="D369">
        <v>392.64817944302757</v>
      </c>
    </row>
    <row r="370" spans="1:4" x14ac:dyDescent="0.2">
      <c r="A370" t="s">
        <v>4</v>
      </c>
      <c r="B370" t="s">
        <v>88</v>
      </c>
      <c r="C370" s="1">
        <f t="shared" si="5"/>
        <v>0.43277777777777776</v>
      </c>
      <c r="D370">
        <v>401.24458404771769</v>
      </c>
    </row>
    <row r="371" spans="1:4" x14ac:dyDescent="0.2">
      <c r="A371" t="s">
        <v>4</v>
      </c>
      <c r="B371" t="s">
        <v>89</v>
      </c>
      <c r="C371" s="1">
        <f t="shared" si="5"/>
        <v>0.43278935185185186</v>
      </c>
      <c r="D371">
        <v>397.81874835281127</v>
      </c>
    </row>
    <row r="372" spans="1:4" x14ac:dyDescent="0.2">
      <c r="A372" t="s">
        <v>4</v>
      </c>
      <c r="B372" t="s">
        <v>90</v>
      </c>
      <c r="C372" s="1">
        <f t="shared" si="5"/>
        <v>0.43280092592592595</v>
      </c>
      <c r="D372">
        <v>385.31000920260823</v>
      </c>
    </row>
    <row r="373" spans="1:4" x14ac:dyDescent="0.2">
      <c r="A373" t="s">
        <v>4</v>
      </c>
      <c r="B373" t="s">
        <v>91</v>
      </c>
      <c r="C373" s="1">
        <f t="shared" si="5"/>
        <v>0.43281249999999999</v>
      </c>
      <c r="D373">
        <v>385.01682100480326</v>
      </c>
    </row>
    <row r="374" spans="1:4" x14ac:dyDescent="0.2">
      <c r="A374" t="s">
        <v>4</v>
      </c>
      <c r="B374" t="s">
        <v>92</v>
      </c>
      <c r="C374" s="1">
        <f t="shared" si="5"/>
        <v>0.43282407407407408</v>
      </c>
      <c r="D374">
        <v>349.16205391245353</v>
      </c>
    </row>
    <row r="375" spans="1:4" x14ac:dyDescent="0.2">
      <c r="A375" t="s">
        <v>4</v>
      </c>
      <c r="B375" t="s">
        <v>93</v>
      </c>
      <c r="C375" s="1">
        <f t="shared" si="5"/>
        <v>0.43283564814814812</v>
      </c>
      <c r="D375">
        <v>354.41969689992544</v>
      </c>
    </row>
    <row r="376" spans="1:4" x14ac:dyDescent="0.2">
      <c r="A376" t="s">
        <v>4</v>
      </c>
      <c r="B376" t="s">
        <v>94</v>
      </c>
      <c r="C376" s="1">
        <f t="shared" si="5"/>
        <v>0.43284722222222222</v>
      </c>
      <c r="D376">
        <v>371.50949830397457</v>
      </c>
    </row>
    <row r="377" spans="1:4" x14ac:dyDescent="0.2">
      <c r="A377" t="s">
        <v>4</v>
      </c>
      <c r="B377" t="s">
        <v>96</v>
      </c>
      <c r="C377" s="1">
        <f t="shared" si="5"/>
        <v>0.43287037037037035</v>
      </c>
      <c r="D377">
        <v>353.40911223610289</v>
      </c>
    </row>
    <row r="378" spans="1:4" x14ac:dyDescent="0.2">
      <c r="A378" t="s">
        <v>4</v>
      </c>
      <c r="B378" t="s">
        <v>97</v>
      </c>
      <c r="C378" s="1">
        <f t="shared" si="5"/>
        <v>0.43288194444444444</v>
      </c>
      <c r="D378">
        <v>381.88972020371756</v>
      </c>
    </row>
    <row r="379" spans="1:4" x14ac:dyDescent="0.2">
      <c r="A379" t="s">
        <v>4</v>
      </c>
      <c r="B379" t="s">
        <v>98</v>
      </c>
      <c r="C379" s="1">
        <f t="shared" si="5"/>
        <v>0.43289351851851854</v>
      </c>
      <c r="D379">
        <v>380.59036750162625</v>
      </c>
    </row>
    <row r="380" spans="1:4" x14ac:dyDescent="0.2">
      <c r="A380" t="s">
        <v>4</v>
      </c>
      <c r="B380" t="s">
        <v>99</v>
      </c>
      <c r="C380" s="1">
        <f t="shared" si="5"/>
        <v>0.43290509259259258</v>
      </c>
      <c r="D380">
        <v>368.95137389761931</v>
      </c>
    </row>
    <row r="381" spans="1:4" x14ac:dyDescent="0.2">
      <c r="A381" t="s">
        <v>4</v>
      </c>
      <c r="B381" t="s">
        <v>100</v>
      </c>
      <c r="C381" s="1">
        <f t="shared" si="5"/>
        <v>0.43739583333333332</v>
      </c>
      <c r="D381">
        <v>298.4637057341676</v>
      </c>
    </row>
    <row r="382" spans="1:4" x14ac:dyDescent="0.2">
      <c r="A382" t="s">
        <v>4</v>
      </c>
      <c r="B382" t="s">
        <v>101</v>
      </c>
      <c r="C382" s="1">
        <f t="shared" si="5"/>
        <v>0.43740740740740741</v>
      </c>
      <c r="D382">
        <v>300.00840469677928</v>
      </c>
    </row>
    <row r="383" spans="1:4" x14ac:dyDescent="0.2">
      <c r="A383" t="s">
        <v>4</v>
      </c>
      <c r="B383" t="s">
        <v>102</v>
      </c>
      <c r="C383" s="1">
        <f t="shared" si="5"/>
        <v>0.44165509259259261</v>
      </c>
      <c r="D383">
        <v>508.24149442514732</v>
      </c>
    </row>
    <row r="384" spans="1:4" x14ac:dyDescent="0.2">
      <c r="A384" t="s">
        <v>5</v>
      </c>
      <c r="B384" t="s">
        <v>8</v>
      </c>
      <c r="C384" s="1">
        <f t="shared" si="5"/>
        <v>0.40699074074074076</v>
      </c>
      <c r="D384">
        <v>277.00135086629433</v>
      </c>
    </row>
    <row r="385" spans="1:4" x14ac:dyDescent="0.2">
      <c r="A385" t="s">
        <v>5</v>
      </c>
      <c r="B385" t="s">
        <v>142</v>
      </c>
      <c r="C385" s="1">
        <f t="shared" si="5"/>
        <v>0.41550925925925924</v>
      </c>
      <c r="D385">
        <v>305.74909863687174</v>
      </c>
    </row>
    <row r="386" spans="1:4" x14ac:dyDescent="0.2">
      <c r="A386" t="s">
        <v>5</v>
      </c>
      <c r="B386" t="s">
        <v>9</v>
      </c>
      <c r="C386" s="1">
        <f t="shared" si="5"/>
        <v>0.41690972222222222</v>
      </c>
      <c r="D386">
        <v>289.53741516381399</v>
      </c>
    </row>
    <row r="387" spans="1:4" x14ac:dyDescent="0.2">
      <c r="A387" t="s">
        <v>5</v>
      </c>
      <c r="B387" t="s">
        <v>10</v>
      </c>
      <c r="C387" s="1">
        <f t="shared" si="5"/>
        <v>0.41692129629629632</v>
      </c>
      <c r="D387">
        <v>311.42381867213129</v>
      </c>
    </row>
    <row r="388" spans="1:4" x14ac:dyDescent="0.2">
      <c r="A388" t="s">
        <v>5</v>
      </c>
      <c r="B388" t="s">
        <v>11</v>
      </c>
      <c r="C388" s="1">
        <f t="shared" si="5"/>
        <v>0.41693287037037036</v>
      </c>
      <c r="D388">
        <v>271.42879822343878</v>
      </c>
    </row>
    <row r="389" spans="1:4" x14ac:dyDescent="0.2">
      <c r="A389" t="s">
        <v>5</v>
      </c>
      <c r="B389" t="s">
        <v>103</v>
      </c>
      <c r="C389" s="1">
        <f t="shared" ref="C389:C452" si="6">+TIME(HOUR(B389),MINUTE(B389),SECOND(B389))</f>
        <v>0.41694444444444445</v>
      </c>
      <c r="D389">
        <v>360.42742241961832</v>
      </c>
    </row>
    <row r="390" spans="1:4" x14ac:dyDescent="0.2">
      <c r="A390" t="s">
        <v>5</v>
      </c>
      <c r="B390" t="s">
        <v>139</v>
      </c>
      <c r="C390" s="1">
        <f t="shared" si="6"/>
        <v>0.41695601851851855</v>
      </c>
      <c r="D390">
        <v>367.716249337536</v>
      </c>
    </row>
    <row r="391" spans="1:4" x14ac:dyDescent="0.2">
      <c r="A391" t="s">
        <v>5</v>
      </c>
      <c r="B391" t="s">
        <v>104</v>
      </c>
      <c r="C391" s="1">
        <f t="shared" si="6"/>
        <v>0.41696759259259258</v>
      </c>
      <c r="D391">
        <v>359.78061490013113</v>
      </c>
    </row>
    <row r="392" spans="1:4" x14ac:dyDescent="0.2">
      <c r="A392" t="s">
        <v>5</v>
      </c>
      <c r="B392" t="s">
        <v>12</v>
      </c>
      <c r="C392" s="1">
        <f t="shared" si="6"/>
        <v>0.41699074074074072</v>
      </c>
      <c r="D392">
        <v>311.97372738071408</v>
      </c>
    </row>
    <row r="393" spans="1:4" x14ac:dyDescent="0.2">
      <c r="A393" t="s">
        <v>5</v>
      </c>
      <c r="B393" t="s">
        <v>105</v>
      </c>
      <c r="C393" s="1">
        <f t="shared" si="6"/>
        <v>0.41700231481481481</v>
      </c>
      <c r="D393">
        <v>306.98999272933918</v>
      </c>
    </row>
    <row r="394" spans="1:4" x14ac:dyDescent="0.2">
      <c r="A394" t="s">
        <v>5</v>
      </c>
      <c r="B394" t="s">
        <v>13</v>
      </c>
      <c r="C394" s="1">
        <f t="shared" si="6"/>
        <v>0.41702546296296295</v>
      </c>
      <c r="D394">
        <v>304.34934945284635</v>
      </c>
    </row>
    <row r="395" spans="1:4" x14ac:dyDescent="0.2">
      <c r="A395" t="s">
        <v>5</v>
      </c>
      <c r="B395" t="s">
        <v>14</v>
      </c>
      <c r="C395" s="1">
        <f t="shared" si="6"/>
        <v>0.41976851851851854</v>
      </c>
      <c r="D395">
        <v>340.81965626417661</v>
      </c>
    </row>
    <row r="396" spans="1:4" x14ac:dyDescent="0.2">
      <c r="A396" t="s">
        <v>5</v>
      </c>
      <c r="B396" t="s">
        <v>15</v>
      </c>
      <c r="C396" s="1">
        <f t="shared" si="6"/>
        <v>0.41978009259259258</v>
      </c>
      <c r="D396">
        <v>332.8458807045854</v>
      </c>
    </row>
    <row r="397" spans="1:4" x14ac:dyDescent="0.2">
      <c r="A397" t="s">
        <v>5</v>
      </c>
      <c r="B397" t="s">
        <v>16</v>
      </c>
      <c r="C397" s="1">
        <f t="shared" si="6"/>
        <v>0.41979166666666667</v>
      </c>
      <c r="D397">
        <v>348.44476697351371</v>
      </c>
    </row>
    <row r="398" spans="1:4" x14ac:dyDescent="0.2">
      <c r="A398" t="s">
        <v>5</v>
      </c>
      <c r="B398" t="s">
        <v>107</v>
      </c>
      <c r="C398" s="1">
        <f t="shared" si="6"/>
        <v>0.41981481481481481</v>
      </c>
      <c r="D398">
        <v>309.62906830717492</v>
      </c>
    </row>
    <row r="399" spans="1:4" x14ac:dyDescent="0.2">
      <c r="A399" t="s">
        <v>5</v>
      </c>
      <c r="B399" t="s">
        <v>20</v>
      </c>
      <c r="C399" s="1">
        <f t="shared" si="6"/>
        <v>0.4199074074074074</v>
      </c>
      <c r="D399">
        <v>307.47509233497362</v>
      </c>
    </row>
    <row r="400" spans="1:4" x14ac:dyDescent="0.2">
      <c r="A400" t="s">
        <v>5</v>
      </c>
      <c r="B400" t="s">
        <v>21</v>
      </c>
      <c r="C400" s="1">
        <f t="shared" si="6"/>
        <v>0.41991898148148149</v>
      </c>
      <c r="D400">
        <v>311.57556613318684</v>
      </c>
    </row>
    <row r="401" spans="1:4" x14ac:dyDescent="0.2">
      <c r="A401" t="s">
        <v>5</v>
      </c>
      <c r="B401" t="s">
        <v>26</v>
      </c>
      <c r="C401" s="1">
        <f t="shared" si="6"/>
        <v>0.41997685185185185</v>
      </c>
      <c r="D401">
        <v>351.76128909675191</v>
      </c>
    </row>
    <row r="402" spans="1:4" x14ac:dyDescent="0.2">
      <c r="A402" t="s">
        <v>5</v>
      </c>
      <c r="B402" t="s">
        <v>27</v>
      </c>
      <c r="C402" s="1">
        <f t="shared" si="6"/>
        <v>0.41998842592592595</v>
      </c>
      <c r="D402">
        <v>350.23478573176442</v>
      </c>
    </row>
    <row r="403" spans="1:4" x14ac:dyDescent="0.2">
      <c r="A403" t="s">
        <v>5</v>
      </c>
      <c r="B403" t="s">
        <v>28</v>
      </c>
      <c r="C403" s="1">
        <f t="shared" si="6"/>
        <v>0.42</v>
      </c>
      <c r="D403">
        <v>347.46696541711503</v>
      </c>
    </row>
    <row r="404" spans="1:4" x14ac:dyDescent="0.2">
      <c r="A404" t="s">
        <v>5</v>
      </c>
      <c r="B404" t="s">
        <v>29</v>
      </c>
      <c r="C404" s="1">
        <f t="shared" si="6"/>
        <v>0.42001157407407408</v>
      </c>
      <c r="D404">
        <v>356.93366260489654</v>
      </c>
    </row>
    <row r="405" spans="1:4" x14ac:dyDescent="0.2">
      <c r="A405" t="s">
        <v>5</v>
      </c>
      <c r="B405" t="s">
        <v>30</v>
      </c>
      <c r="C405" s="1">
        <f t="shared" si="6"/>
        <v>0.42002314814814817</v>
      </c>
      <c r="D405">
        <v>362.0500096763879</v>
      </c>
    </row>
    <row r="406" spans="1:4" x14ac:dyDescent="0.2">
      <c r="A406" t="s">
        <v>5</v>
      </c>
      <c r="B406" t="s">
        <v>31</v>
      </c>
      <c r="C406" s="1">
        <f t="shared" si="6"/>
        <v>0.42003472222222221</v>
      </c>
      <c r="D406">
        <v>329.46404788130633</v>
      </c>
    </row>
    <row r="407" spans="1:4" x14ac:dyDescent="0.2">
      <c r="A407" t="s">
        <v>5</v>
      </c>
      <c r="B407" t="s">
        <v>32</v>
      </c>
      <c r="C407" s="1">
        <f t="shared" si="6"/>
        <v>0.42004629629629631</v>
      </c>
      <c r="D407">
        <v>316.77853084687627</v>
      </c>
    </row>
    <row r="408" spans="1:4" x14ac:dyDescent="0.2">
      <c r="A408" t="s">
        <v>5</v>
      </c>
      <c r="B408" t="s">
        <v>33</v>
      </c>
      <c r="C408" s="1">
        <f t="shared" si="6"/>
        <v>0.42005787037037035</v>
      </c>
      <c r="D408">
        <v>335.5135261365017</v>
      </c>
    </row>
    <row r="409" spans="1:4" x14ac:dyDescent="0.2">
      <c r="A409" t="s">
        <v>5</v>
      </c>
      <c r="B409" t="s">
        <v>34</v>
      </c>
      <c r="C409" s="1">
        <f t="shared" si="6"/>
        <v>0.42006944444444444</v>
      </c>
      <c r="D409">
        <v>331.21769469078879</v>
      </c>
    </row>
    <row r="410" spans="1:4" x14ac:dyDescent="0.2">
      <c r="A410" t="s">
        <v>5</v>
      </c>
      <c r="B410" t="s">
        <v>35</v>
      </c>
      <c r="C410" s="1">
        <f t="shared" si="6"/>
        <v>0.42008101851851853</v>
      </c>
      <c r="D410">
        <v>333.88513948708294</v>
      </c>
    </row>
    <row r="411" spans="1:4" x14ac:dyDescent="0.2">
      <c r="A411" t="s">
        <v>5</v>
      </c>
      <c r="B411" t="s">
        <v>36</v>
      </c>
      <c r="C411" s="1">
        <f t="shared" si="6"/>
        <v>0.42009259259259257</v>
      </c>
      <c r="D411">
        <v>350.58841633351068</v>
      </c>
    </row>
    <row r="412" spans="1:4" x14ac:dyDescent="0.2">
      <c r="A412" t="s">
        <v>5</v>
      </c>
      <c r="B412" t="s">
        <v>37</v>
      </c>
      <c r="C412" s="1">
        <f t="shared" si="6"/>
        <v>0.42010416666666667</v>
      </c>
      <c r="D412">
        <v>338.12760975236552</v>
      </c>
    </row>
    <row r="413" spans="1:4" x14ac:dyDescent="0.2">
      <c r="A413" t="s">
        <v>5</v>
      </c>
      <c r="B413" t="s">
        <v>38</v>
      </c>
      <c r="C413" s="1">
        <f t="shared" si="6"/>
        <v>0.42011574074074076</v>
      </c>
      <c r="D413">
        <v>330.24873595894127</v>
      </c>
    </row>
    <row r="414" spans="1:4" x14ac:dyDescent="0.2">
      <c r="A414" t="s">
        <v>5</v>
      </c>
      <c r="B414" t="s">
        <v>39</v>
      </c>
      <c r="C414" s="1">
        <f t="shared" si="6"/>
        <v>0.4201273148148148</v>
      </c>
      <c r="D414">
        <v>332.12783883172574</v>
      </c>
    </row>
    <row r="415" spans="1:4" x14ac:dyDescent="0.2">
      <c r="A415" t="s">
        <v>5</v>
      </c>
      <c r="B415" t="s">
        <v>40</v>
      </c>
      <c r="C415" s="1">
        <f t="shared" si="6"/>
        <v>0.4201388888888889</v>
      </c>
      <c r="D415">
        <v>337.50347913481392</v>
      </c>
    </row>
    <row r="416" spans="1:4" x14ac:dyDescent="0.2">
      <c r="A416" t="s">
        <v>5</v>
      </c>
      <c r="B416" t="s">
        <v>41</v>
      </c>
      <c r="C416" s="1">
        <f t="shared" si="6"/>
        <v>0.42015046296296299</v>
      </c>
      <c r="D416">
        <v>331.14923337799098</v>
      </c>
    </row>
    <row r="417" spans="1:4" x14ac:dyDescent="0.2">
      <c r="A417" t="s">
        <v>5</v>
      </c>
      <c r="B417" t="s">
        <v>43</v>
      </c>
      <c r="C417" s="1">
        <f t="shared" si="6"/>
        <v>0.42129629629629628</v>
      </c>
      <c r="D417">
        <v>371.12394828094381</v>
      </c>
    </row>
    <row r="418" spans="1:4" x14ac:dyDescent="0.2">
      <c r="A418" t="s">
        <v>5</v>
      </c>
      <c r="B418" t="s">
        <v>44</v>
      </c>
      <c r="C418" s="1">
        <f t="shared" si="6"/>
        <v>0.4226273148148148</v>
      </c>
      <c r="D418">
        <v>372.81471722317434</v>
      </c>
    </row>
    <row r="419" spans="1:4" x14ac:dyDescent="0.2">
      <c r="A419" t="s">
        <v>5</v>
      </c>
      <c r="B419" t="s">
        <v>45</v>
      </c>
      <c r="C419" s="1">
        <f t="shared" si="6"/>
        <v>0.4226388888888889</v>
      </c>
      <c r="D419">
        <v>380.18349861447228</v>
      </c>
    </row>
    <row r="420" spans="1:4" x14ac:dyDescent="0.2">
      <c r="A420" t="s">
        <v>5</v>
      </c>
      <c r="B420" t="s">
        <v>46</v>
      </c>
      <c r="C420" s="1">
        <f t="shared" si="6"/>
        <v>0.42265046296296294</v>
      </c>
      <c r="D420">
        <v>364.71849368626255</v>
      </c>
    </row>
    <row r="421" spans="1:4" x14ac:dyDescent="0.2">
      <c r="A421" t="s">
        <v>5</v>
      </c>
      <c r="B421" t="s">
        <v>48</v>
      </c>
      <c r="C421" s="1">
        <f t="shared" si="6"/>
        <v>0.42267361111111112</v>
      </c>
      <c r="D421">
        <v>365.74514955269473</v>
      </c>
    </row>
    <row r="422" spans="1:4" x14ac:dyDescent="0.2">
      <c r="A422" t="s">
        <v>5</v>
      </c>
      <c r="B422" t="s">
        <v>49</v>
      </c>
      <c r="C422" s="1">
        <f t="shared" si="6"/>
        <v>0.42269675925925926</v>
      </c>
      <c r="D422">
        <v>364.13576812166326</v>
      </c>
    </row>
    <row r="423" spans="1:4" x14ac:dyDescent="0.2">
      <c r="A423" t="s">
        <v>5</v>
      </c>
      <c r="B423" t="s">
        <v>50</v>
      </c>
      <c r="C423" s="1">
        <f t="shared" si="6"/>
        <v>0.42270833333333335</v>
      </c>
      <c r="D423">
        <v>365.66051026970678</v>
      </c>
    </row>
    <row r="424" spans="1:4" x14ac:dyDescent="0.2">
      <c r="A424" t="s">
        <v>5</v>
      </c>
      <c r="B424" t="s">
        <v>51</v>
      </c>
      <c r="C424" s="1">
        <f t="shared" si="6"/>
        <v>0.42275462962962962</v>
      </c>
      <c r="D424">
        <v>365.18030153980334</v>
      </c>
    </row>
    <row r="425" spans="1:4" x14ac:dyDescent="0.2">
      <c r="A425" t="s">
        <v>5</v>
      </c>
      <c r="B425" t="s">
        <v>57</v>
      </c>
      <c r="C425" s="1">
        <f t="shared" si="6"/>
        <v>0.42424768518518519</v>
      </c>
      <c r="D425">
        <v>345.76372775847608</v>
      </c>
    </row>
    <row r="426" spans="1:4" x14ac:dyDescent="0.2">
      <c r="A426" t="s">
        <v>5</v>
      </c>
      <c r="B426" t="s">
        <v>58</v>
      </c>
      <c r="C426" s="1">
        <f t="shared" si="6"/>
        <v>0.42425925925925928</v>
      </c>
      <c r="D426">
        <v>379.83007257059722</v>
      </c>
    </row>
    <row r="427" spans="1:4" x14ac:dyDescent="0.2">
      <c r="A427" t="s">
        <v>5</v>
      </c>
      <c r="B427" t="s">
        <v>59</v>
      </c>
      <c r="C427" s="1">
        <f t="shared" si="6"/>
        <v>0.42427083333333332</v>
      </c>
      <c r="D427">
        <v>402.06497199449296</v>
      </c>
    </row>
    <row r="428" spans="1:4" x14ac:dyDescent="0.2">
      <c r="A428" t="s">
        <v>5</v>
      </c>
      <c r="B428" t="s">
        <v>60</v>
      </c>
      <c r="C428" s="1">
        <f t="shared" si="6"/>
        <v>0.42428240740740741</v>
      </c>
      <c r="D428">
        <v>381.90278552963565</v>
      </c>
    </row>
    <row r="429" spans="1:4" x14ac:dyDescent="0.2">
      <c r="A429" t="s">
        <v>5</v>
      </c>
      <c r="B429" t="s">
        <v>61</v>
      </c>
      <c r="C429" s="1">
        <f t="shared" si="6"/>
        <v>0.42429398148148151</v>
      </c>
      <c r="D429">
        <v>399.03322111541121</v>
      </c>
    </row>
    <row r="430" spans="1:4" x14ac:dyDescent="0.2">
      <c r="A430" t="s">
        <v>5</v>
      </c>
      <c r="B430" t="s">
        <v>130</v>
      </c>
      <c r="C430" s="1">
        <f t="shared" si="6"/>
        <v>0.42430555555555555</v>
      </c>
      <c r="D430">
        <v>397.34773996742655</v>
      </c>
    </row>
    <row r="431" spans="1:4" x14ac:dyDescent="0.2">
      <c r="A431" t="s">
        <v>5</v>
      </c>
      <c r="B431" t="s">
        <v>62</v>
      </c>
      <c r="C431" s="1">
        <f t="shared" si="6"/>
        <v>0.42431712962962964</v>
      </c>
      <c r="D431">
        <v>373.64610738410482</v>
      </c>
    </row>
    <row r="432" spans="1:4" x14ac:dyDescent="0.2">
      <c r="A432" t="s">
        <v>5</v>
      </c>
      <c r="B432" t="s">
        <v>69</v>
      </c>
      <c r="C432" s="1">
        <f t="shared" si="6"/>
        <v>0.42446759259259259</v>
      </c>
      <c r="D432">
        <v>245.88095537337782</v>
      </c>
    </row>
    <row r="433" spans="1:4" x14ac:dyDescent="0.2">
      <c r="A433" t="s">
        <v>5</v>
      </c>
      <c r="B433" t="s">
        <v>134</v>
      </c>
      <c r="C433" s="1">
        <f t="shared" si="6"/>
        <v>0.42560185185185184</v>
      </c>
      <c r="D433">
        <v>358.37400425901217</v>
      </c>
    </row>
    <row r="434" spans="1:4" x14ac:dyDescent="0.2">
      <c r="A434" t="s">
        <v>5</v>
      </c>
      <c r="B434" t="s">
        <v>70</v>
      </c>
      <c r="C434" s="1">
        <f t="shared" si="6"/>
        <v>0.4256597222222222</v>
      </c>
      <c r="D434">
        <v>316.26571048650919</v>
      </c>
    </row>
    <row r="435" spans="1:4" x14ac:dyDescent="0.2">
      <c r="A435" t="s">
        <v>5</v>
      </c>
      <c r="B435" t="s">
        <v>72</v>
      </c>
      <c r="C435" s="1">
        <f t="shared" si="6"/>
        <v>0.42571759259259262</v>
      </c>
      <c r="D435">
        <v>334.50799257767653</v>
      </c>
    </row>
    <row r="436" spans="1:4" x14ac:dyDescent="0.2">
      <c r="A436" t="s">
        <v>5</v>
      </c>
      <c r="B436" t="s">
        <v>73</v>
      </c>
      <c r="C436" s="1">
        <f t="shared" si="6"/>
        <v>0.42572916666666666</v>
      </c>
      <c r="D436">
        <v>345.06983214988065</v>
      </c>
    </row>
    <row r="437" spans="1:4" x14ac:dyDescent="0.2">
      <c r="A437" t="s">
        <v>5</v>
      </c>
      <c r="B437" t="s">
        <v>74</v>
      </c>
      <c r="C437" s="1">
        <f t="shared" si="6"/>
        <v>0.42574074074074075</v>
      </c>
      <c r="D437">
        <v>338.41029892820757</v>
      </c>
    </row>
    <row r="438" spans="1:4" x14ac:dyDescent="0.2">
      <c r="A438" t="s">
        <v>5</v>
      </c>
      <c r="B438" t="s">
        <v>75</v>
      </c>
      <c r="C438" s="1">
        <f t="shared" si="6"/>
        <v>0.42984953703703704</v>
      </c>
      <c r="D438">
        <v>285.82856917593898</v>
      </c>
    </row>
    <row r="439" spans="1:4" x14ac:dyDescent="0.2">
      <c r="A439" t="s">
        <v>5</v>
      </c>
      <c r="B439" t="s">
        <v>76</v>
      </c>
      <c r="C439" s="1">
        <f t="shared" si="6"/>
        <v>0.42986111111111114</v>
      </c>
      <c r="D439">
        <v>284.39253397888103</v>
      </c>
    </row>
    <row r="440" spans="1:4" x14ac:dyDescent="0.2">
      <c r="A440" t="s">
        <v>5</v>
      </c>
      <c r="B440" t="s">
        <v>77</v>
      </c>
      <c r="C440" s="1">
        <f t="shared" si="6"/>
        <v>0.42987268518518518</v>
      </c>
      <c r="D440">
        <v>284.41632558814774</v>
      </c>
    </row>
    <row r="441" spans="1:4" x14ac:dyDescent="0.2">
      <c r="A441" t="s">
        <v>5</v>
      </c>
      <c r="B441" t="s">
        <v>78</v>
      </c>
      <c r="C441" s="1">
        <f t="shared" si="6"/>
        <v>0.42988425925925927</v>
      </c>
      <c r="D441">
        <v>285.21601842529566</v>
      </c>
    </row>
    <row r="442" spans="1:4" x14ac:dyDescent="0.2">
      <c r="A442" t="s">
        <v>5</v>
      </c>
      <c r="B442" t="s">
        <v>79</v>
      </c>
      <c r="C442" s="1">
        <f t="shared" si="6"/>
        <v>0.42989583333333331</v>
      </c>
      <c r="D442">
        <v>287.5965969178543</v>
      </c>
    </row>
    <row r="443" spans="1:4" x14ac:dyDescent="0.2">
      <c r="A443" t="s">
        <v>5</v>
      </c>
      <c r="B443" t="s">
        <v>80</v>
      </c>
      <c r="C443" s="1">
        <f t="shared" si="6"/>
        <v>0.4299074074074074</v>
      </c>
      <c r="D443">
        <v>276.68221186886871</v>
      </c>
    </row>
    <row r="444" spans="1:4" x14ac:dyDescent="0.2">
      <c r="A444" t="s">
        <v>5</v>
      </c>
      <c r="B444" t="s">
        <v>81</v>
      </c>
      <c r="C444" s="1">
        <f t="shared" si="6"/>
        <v>0.4299189814814815</v>
      </c>
      <c r="D444">
        <v>271.29183191133421</v>
      </c>
    </row>
    <row r="445" spans="1:4" x14ac:dyDescent="0.2">
      <c r="A445" t="s">
        <v>5</v>
      </c>
      <c r="B445" t="s">
        <v>82</v>
      </c>
      <c r="C445" s="1">
        <f t="shared" si="6"/>
        <v>0.42993055555555554</v>
      </c>
      <c r="D445">
        <v>288.83310894491569</v>
      </c>
    </row>
    <row r="446" spans="1:4" x14ac:dyDescent="0.2">
      <c r="A446" t="s">
        <v>5</v>
      </c>
      <c r="B446" t="s">
        <v>83</v>
      </c>
      <c r="C446" s="1">
        <f t="shared" si="6"/>
        <v>0.43129629629629629</v>
      </c>
      <c r="D446">
        <v>334.7571679172496</v>
      </c>
    </row>
    <row r="447" spans="1:4" x14ac:dyDescent="0.2">
      <c r="A447" t="s">
        <v>5</v>
      </c>
      <c r="B447" t="s">
        <v>84</v>
      </c>
      <c r="C447" s="1">
        <f t="shared" si="6"/>
        <v>0.43130787037037038</v>
      </c>
      <c r="D447">
        <v>336.82241535492813</v>
      </c>
    </row>
    <row r="448" spans="1:4" x14ac:dyDescent="0.2">
      <c r="A448" t="s">
        <v>5</v>
      </c>
      <c r="B448" t="s">
        <v>85</v>
      </c>
      <c r="C448" s="1">
        <f t="shared" si="6"/>
        <v>0.43131944444444442</v>
      </c>
      <c r="D448">
        <v>335.79874779147269</v>
      </c>
    </row>
    <row r="449" spans="1:4" x14ac:dyDescent="0.2">
      <c r="A449" t="s">
        <v>5</v>
      </c>
      <c r="B449" t="s">
        <v>141</v>
      </c>
      <c r="C449" s="1">
        <f t="shared" si="6"/>
        <v>0.43134259259259261</v>
      </c>
      <c r="D449">
        <v>324.41911006935169</v>
      </c>
    </row>
    <row r="450" spans="1:4" x14ac:dyDescent="0.2">
      <c r="A450" t="s">
        <v>5</v>
      </c>
      <c r="B450" t="s">
        <v>86</v>
      </c>
      <c r="C450" s="1">
        <f t="shared" si="6"/>
        <v>0.43275462962962963</v>
      </c>
      <c r="D450">
        <v>378.22147813343867</v>
      </c>
    </row>
    <row r="451" spans="1:4" x14ac:dyDescent="0.2">
      <c r="A451" t="s">
        <v>5</v>
      </c>
      <c r="B451" t="s">
        <v>88</v>
      </c>
      <c r="C451" s="1">
        <f t="shared" si="6"/>
        <v>0.43277777777777776</v>
      </c>
      <c r="D451">
        <v>397.00363029689112</v>
      </c>
    </row>
    <row r="452" spans="1:4" x14ac:dyDescent="0.2">
      <c r="A452" t="s">
        <v>5</v>
      </c>
      <c r="B452" t="s">
        <v>100</v>
      </c>
      <c r="C452" s="1">
        <f t="shared" si="6"/>
        <v>0.43739583333333332</v>
      </c>
      <c r="D452">
        <v>363.15224479753135</v>
      </c>
    </row>
    <row r="453" spans="1:4" x14ac:dyDescent="0.2">
      <c r="A453" t="s">
        <v>5</v>
      </c>
      <c r="B453" t="s">
        <v>101</v>
      </c>
      <c r="C453" s="1">
        <f t="shared" ref="C453:C516" si="7">+TIME(HOUR(B453),MINUTE(B453),SECOND(B453))</f>
        <v>0.43740740740740741</v>
      </c>
      <c r="D453">
        <v>364.11726986295656</v>
      </c>
    </row>
    <row r="454" spans="1:4" x14ac:dyDescent="0.2">
      <c r="A454" t="s">
        <v>5</v>
      </c>
      <c r="B454" t="s">
        <v>102</v>
      </c>
      <c r="C454" s="1">
        <f t="shared" si="7"/>
        <v>0.44165509259259261</v>
      </c>
      <c r="D454">
        <v>383.96643604102411</v>
      </c>
    </row>
    <row r="455" spans="1:4" x14ac:dyDescent="0.2">
      <c r="A455" t="s">
        <v>6</v>
      </c>
      <c r="B455" t="s">
        <v>142</v>
      </c>
      <c r="C455" s="1">
        <f t="shared" si="7"/>
        <v>0.41550925925925924</v>
      </c>
      <c r="D455">
        <v>248.77632725521678</v>
      </c>
    </row>
    <row r="456" spans="1:4" x14ac:dyDescent="0.2">
      <c r="A456" t="s">
        <v>6</v>
      </c>
      <c r="B456" t="s">
        <v>9</v>
      </c>
      <c r="C456" s="1">
        <f t="shared" si="7"/>
        <v>0.41690972222222222</v>
      </c>
      <c r="D456">
        <v>334.0457516817317</v>
      </c>
    </row>
    <row r="457" spans="1:4" x14ac:dyDescent="0.2">
      <c r="A457" t="s">
        <v>6</v>
      </c>
      <c r="B457" t="s">
        <v>10</v>
      </c>
      <c r="C457" s="1">
        <f t="shared" si="7"/>
        <v>0.41692129629629632</v>
      </c>
      <c r="D457">
        <v>341.94384081170205</v>
      </c>
    </row>
    <row r="458" spans="1:4" x14ac:dyDescent="0.2">
      <c r="A458" t="s">
        <v>6</v>
      </c>
      <c r="B458" t="s">
        <v>103</v>
      </c>
      <c r="C458" s="1">
        <f t="shared" si="7"/>
        <v>0.41694444444444445</v>
      </c>
      <c r="D458">
        <v>379.25239979903353</v>
      </c>
    </row>
    <row r="459" spans="1:4" x14ac:dyDescent="0.2">
      <c r="A459" t="s">
        <v>6</v>
      </c>
      <c r="B459" t="s">
        <v>139</v>
      </c>
      <c r="C459" s="1">
        <f t="shared" si="7"/>
        <v>0.41695601851851855</v>
      </c>
      <c r="D459">
        <v>387.85152438062124</v>
      </c>
    </row>
    <row r="460" spans="1:4" x14ac:dyDescent="0.2">
      <c r="A460" t="s">
        <v>6</v>
      </c>
      <c r="B460" t="s">
        <v>104</v>
      </c>
      <c r="C460" s="1">
        <f t="shared" si="7"/>
        <v>0.41696759259259258</v>
      </c>
      <c r="D460">
        <v>333.16675289825537</v>
      </c>
    </row>
    <row r="461" spans="1:4" x14ac:dyDescent="0.2">
      <c r="A461" t="s">
        <v>6</v>
      </c>
      <c r="B461" t="s">
        <v>13</v>
      </c>
      <c r="C461" s="1">
        <f t="shared" si="7"/>
        <v>0.41702546296296295</v>
      </c>
      <c r="D461">
        <v>354.36516979381554</v>
      </c>
    </row>
    <row r="462" spans="1:4" x14ac:dyDescent="0.2">
      <c r="A462" t="s">
        <v>6</v>
      </c>
      <c r="B462" t="s">
        <v>15</v>
      </c>
      <c r="C462" s="1">
        <f t="shared" si="7"/>
        <v>0.41978009259259258</v>
      </c>
      <c r="D462">
        <v>430.11620716533321</v>
      </c>
    </row>
    <row r="463" spans="1:4" x14ac:dyDescent="0.2">
      <c r="A463" t="s">
        <v>6</v>
      </c>
      <c r="B463" t="s">
        <v>16</v>
      </c>
      <c r="C463" s="1">
        <f t="shared" si="7"/>
        <v>0.41979166666666667</v>
      </c>
      <c r="D463">
        <v>433.50857379019476</v>
      </c>
    </row>
    <row r="464" spans="1:4" x14ac:dyDescent="0.2">
      <c r="A464" t="s">
        <v>6</v>
      </c>
      <c r="B464" t="s">
        <v>107</v>
      </c>
      <c r="C464" s="1">
        <f t="shared" si="7"/>
        <v>0.41981481481481481</v>
      </c>
      <c r="D464">
        <v>442.31007049950369</v>
      </c>
    </row>
    <row r="465" spans="1:4" x14ac:dyDescent="0.2">
      <c r="A465" t="s">
        <v>6</v>
      </c>
      <c r="B465" t="s">
        <v>21</v>
      </c>
      <c r="C465" s="1">
        <f t="shared" si="7"/>
        <v>0.41991898148148149</v>
      </c>
      <c r="D465">
        <v>452.73830003795933</v>
      </c>
    </row>
    <row r="466" spans="1:4" x14ac:dyDescent="0.2">
      <c r="A466" t="s">
        <v>6</v>
      </c>
      <c r="B466" t="s">
        <v>26</v>
      </c>
      <c r="C466" s="1">
        <f t="shared" si="7"/>
        <v>0.41997685185185185</v>
      </c>
      <c r="D466">
        <v>430.56261132767753</v>
      </c>
    </row>
    <row r="467" spans="1:4" x14ac:dyDescent="0.2">
      <c r="A467" t="s">
        <v>6</v>
      </c>
      <c r="B467" t="s">
        <v>27</v>
      </c>
      <c r="C467" s="1">
        <f t="shared" si="7"/>
        <v>0.41998842592592595</v>
      </c>
      <c r="D467">
        <v>426.54357703830192</v>
      </c>
    </row>
    <row r="468" spans="1:4" x14ac:dyDescent="0.2">
      <c r="A468" t="s">
        <v>6</v>
      </c>
      <c r="B468" t="s">
        <v>28</v>
      </c>
      <c r="C468" s="1">
        <f t="shared" si="7"/>
        <v>0.42</v>
      </c>
      <c r="D468">
        <v>421.05143240459654</v>
      </c>
    </row>
    <row r="469" spans="1:4" x14ac:dyDescent="0.2">
      <c r="A469" t="s">
        <v>6</v>
      </c>
      <c r="B469" t="s">
        <v>29</v>
      </c>
      <c r="C469" s="1">
        <f t="shared" si="7"/>
        <v>0.42001157407407408</v>
      </c>
      <c r="D469">
        <v>414.09209665862994</v>
      </c>
    </row>
    <row r="470" spans="1:4" x14ac:dyDescent="0.2">
      <c r="A470" t="s">
        <v>6</v>
      </c>
      <c r="B470" t="s">
        <v>30</v>
      </c>
      <c r="C470" s="1">
        <f t="shared" si="7"/>
        <v>0.42002314814814817</v>
      </c>
      <c r="D470">
        <v>433.10695028183028</v>
      </c>
    </row>
    <row r="471" spans="1:4" x14ac:dyDescent="0.2">
      <c r="A471" t="s">
        <v>6</v>
      </c>
      <c r="B471" t="s">
        <v>31</v>
      </c>
      <c r="C471" s="1">
        <f t="shared" si="7"/>
        <v>0.42003472222222221</v>
      </c>
      <c r="D471">
        <v>441.73807092593557</v>
      </c>
    </row>
    <row r="472" spans="1:4" x14ac:dyDescent="0.2">
      <c r="A472" t="s">
        <v>6</v>
      </c>
      <c r="B472" t="s">
        <v>32</v>
      </c>
      <c r="C472" s="1">
        <f t="shared" si="7"/>
        <v>0.42004629629629631</v>
      </c>
      <c r="D472">
        <v>457.60189132460829</v>
      </c>
    </row>
    <row r="473" spans="1:4" x14ac:dyDescent="0.2">
      <c r="A473" t="s">
        <v>6</v>
      </c>
      <c r="B473" t="s">
        <v>33</v>
      </c>
      <c r="C473" s="1">
        <f t="shared" si="7"/>
        <v>0.42005787037037035</v>
      </c>
      <c r="D473">
        <v>431.31615000663129</v>
      </c>
    </row>
    <row r="474" spans="1:4" x14ac:dyDescent="0.2">
      <c r="A474" t="s">
        <v>6</v>
      </c>
      <c r="B474" t="s">
        <v>34</v>
      </c>
      <c r="C474" s="1">
        <f t="shared" si="7"/>
        <v>0.42006944444444444</v>
      </c>
      <c r="D474">
        <v>428.26383534333257</v>
      </c>
    </row>
    <row r="475" spans="1:4" x14ac:dyDescent="0.2">
      <c r="A475" t="s">
        <v>6</v>
      </c>
      <c r="B475" t="s">
        <v>35</v>
      </c>
      <c r="C475" s="1">
        <f t="shared" si="7"/>
        <v>0.42008101851851853</v>
      </c>
      <c r="D475">
        <v>432.1190632367796</v>
      </c>
    </row>
    <row r="476" spans="1:4" x14ac:dyDescent="0.2">
      <c r="A476" t="s">
        <v>6</v>
      </c>
      <c r="B476" t="s">
        <v>36</v>
      </c>
      <c r="C476" s="1">
        <f t="shared" si="7"/>
        <v>0.42009259259259257</v>
      </c>
      <c r="D476">
        <v>454.06271828329579</v>
      </c>
    </row>
    <row r="477" spans="1:4" x14ac:dyDescent="0.2">
      <c r="A477" t="s">
        <v>6</v>
      </c>
      <c r="B477" t="s">
        <v>37</v>
      </c>
      <c r="C477" s="1">
        <f t="shared" si="7"/>
        <v>0.42010416666666667</v>
      </c>
      <c r="D477">
        <v>440.4345004752293</v>
      </c>
    </row>
    <row r="478" spans="1:4" x14ac:dyDescent="0.2">
      <c r="A478" t="s">
        <v>6</v>
      </c>
      <c r="B478" t="s">
        <v>38</v>
      </c>
      <c r="C478" s="1">
        <f t="shared" si="7"/>
        <v>0.42011574074074076</v>
      </c>
      <c r="D478">
        <v>440.21772840851185</v>
      </c>
    </row>
    <row r="479" spans="1:4" x14ac:dyDescent="0.2">
      <c r="A479" t="s">
        <v>6</v>
      </c>
      <c r="B479" t="s">
        <v>39</v>
      </c>
      <c r="C479" s="1">
        <f t="shared" si="7"/>
        <v>0.4201273148148148</v>
      </c>
      <c r="D479">
        <v>443.00587499560663</v>
      </c>
    </row>
    <row r="480" spans="1:4" x14ac:dyDescent="0.2">
      <c r="A480" t="s">
        <v>6</v>
      </c>
      <c r="B480" t="s">
        <v>40</v>
      </c>
      <c r="C480" s="1">
        <f t="shared" si="7"/>
        <v>0.4201388888888889</v>
      </c>
      <c r="D480">
        <v>449.90824731000265</v>
      </c>
    </row>
    <row r="481" spans="1:4" x14ac:dyDescent="0.2">
      <c r="A481" t="s">
        <v>6</v>
      </c>
      <c r="B481" t="s">
        <v>41</v>
      </c>
      <c r="C481" s="1">
        <f t="shared" si="7"/>
        <v>0.42015046296296299</v>
      </c>
      <c r="D481">
        <v>447.17681208959715</v>
      </c>
    </row>
    <row r="482" spans="1:4" x14ac:dyDescent="0.2">
      <c r="A482" t="s">
        <v>6</v>
      </c>
      <c r="B482" t="s">
        <v>42</v>
      </c>
      <c r="C482" s="1">
        <f t="shared" si="7"/>
        <v>0.42119212962962965</v>
      </c>
      <c r="D482">
        <v>522.15220581781659</v>
      </c>
    </row>
    <row r="483" spans="1:4" x14ac:dyDescent="0.2">
      <c r="A483" t="s">
        <v>6</v>
      </c>
      <c r="B483" t="s">
        <v>110</v>
      </c>
      <c r="C483" s="1">
        <f t="shared" si="7"/>
        <v>0.42120370370370369</v>
      </c>
      <c r="D483">
        <v>529.34885836114347</v>
      </c>
    </row>
    <row r="484" spans="1:4" x14ac:dyDescent="0.2">
      <c r="A484" t="s">
        <v>6</v>
      </c>
      <c r="B484" t="s">
        <v>111</v>
      </c>
      <c r="C484" s="1">
        <f t="shared" si="7"/>
        <v>0.42121527777777779</v>
      </c>
      <c r="D484">
        <v>545.12853772162532</v>
      </c>
    </row>
    <row r="485" spans="1:4" x14ac:dyDescent="0.2">
      <c r="A485" t="s">
        <v>6</v>
      </c>
      <c r="B485" t="s">
        <v>113</v>
      </c>
      <c r="C485" s="1">
        <f t="shared" si="7"/>
        <v>0.42123842592592592</v>
      </c>
      <c r="D485">
        <v>483.91082233561531</v>
      </c>
    </row>
    <row r="486" spans="1:4" x14ac:dyDescent="0.2">
      <c r="A486" t="s">
        <v>6</v>
      </c>
      <c r="B486" t="s">
        <v>116</v>
      </c>
      <c r="C486" s="1">
        <f t="shared" si="7"/>
        <v>0.42127314814814815</v>
      </c>
      <c r="D486">
        <v>537.51202219647416</v>
      </c>
    </row>
    <row r="487" spans="1:4" x14ac:dyDescent="0.2">
      <c r="A487" t="s">
        <v>6</v>
      </c>
      <c r="B487" t="s">
        <v>43</v>
      </c>
      <c r="C487" s="1">
        <f t="shared" si="7"/>
        <v>0.42129629629629628</v>
      </c>
      <c r="D487">
        <v>497.63575090334149</v>
      </c>
    </row>
    <row r="488" spans="1:4" x14ac:dyDescent="0.2">
      <c r="A488" t="s">
        <v>6</v>
      </c>
      <c r="B488" t="s">
        <v>44</v>
      </c>
      <c r="C488" s="1">
        <f t="shared" si="7"/>
        <v>0.4226273148148148</v>
      </c>
      <c r="D488">
        <v>547.20632557835052</v>
      </c>
    </row>
    <row r="489" spans="1:4" x14ac:dyDescent="0.2">
      <c r="A489" t="s">
        <v>6</v>
      </c>
      <c r="B489" t="s">
        <v>45</v>
      </c>
      <c r="C489" s="1">
        <f t="shared" si="7"/>
        <v>0.4226388888888889</v>
      </c>
      <c r="D489">
        <v>587.75590568533482</v>
      </c>
    </row>
    <row r="490" spans="1:4" x14ac:dyDescent="0.2">
      <c r="A490" t="s">
        <v>6</v>
      </c>
      <c r="B490" t="s">
        <v>46</v>
      </c>
      <c r="C490" s="1">
        <f t="shared" si="7"/>
        <v>0.42265046296296294</v>
      </c>
      <c r="D490">
        <v>527.66246585239298</v>
      </c>
    </row>
    <row r="491" spans="1:4" x14ac:dyDescent="0.2">
      <c r="A491" t="s">
        <v>6</v>
      </c>
      <c r="B491" t="s">
        <v>48</v>
      </c>
      <c r="C491" s="1">
        <f t="shared" si="7"/>
        <v>0.42267361111111112</v>
      </c>
      <c r="D491">
        <v>550.74633058857262</v>
      </c>
    </row>
    <row r="492" spans="1:4" x14ac:dyDescent="0.2">
      <c r="A492" t="s">
        <v>6</v>
      </c>
      <c r="B492" t="s">
        <v>49</v>
      </c>
      <c r="C492" s="1">
        <f t="shared" si="7"/>
        <v>0.42269675925925926</v>
      </c>
      <c r="D492">
        <v>550.92741941776251</v>
      </c>
    </row>
    <row r="493" spans="1:4" x14ac:dyDescent="0.2">
      <c r="A493" t="s">
        <v>6</v>
      </c>
      <c r="B493" t="s">
        <v>50</v>
      </c>
      <c r="C493" s="1">
        <f t="shared" si="7"/>
        <v>0.42270833333333335</v>
      </c>
      <c r="D493">
        <v>553.15885561554649</v>
      </c>
    </row>
    <row r="494" spans="1:4" x14ac:dyDescent="0.2">
      <c r="A494" t="s">
        <v>6</v>
      </c>
      <c r="B494" t="s">
        <v>51</v>
      </c>
      <c r="C494" s="1">
        <f t="shared" si="7"/>
        <v>0.42275462962962962</v>
      </c>
      <c r="D494">
        <v>546.1211813332402</v>
      </c>
    </row>
    <row r="495" spans="1:4" x14ac:dyDescent="0.2">
      <c r="A495" t="s">
        <v>6</v>
      </c>
      <c r="B495" t="s">
        <v>52</v>
      </c>
      <c r="C495" s="1">
        <f t="shared" si="7"/>
        <v>0.42276620370370371</v>
      </c>
      <c r="D495">
        <v>551.85635820219375</v>
      </c>
    </row>
    <row r="496" spans="1:4" x14ac:dyDescent="0.2">
      <c r="A496" t="s">
        <v>6</v>
      </c>
      <c r="B496" t="s">
        <v>53</v>
      </c>
      <c r="C496" s="1">
        <f t="shared" si="7"/>
        <v>0.42277777777777775</v>
      </c>
      <c r="D496">
        <v>536.31260852306195</v>
      </c>
    </row>
    <row r="497" spans="1:4" x14ac:dyDescent="0.2">
      <c r="A497" t="s">
        <v>6</v>
      </c>
      <c r="B497" t="s">
        <v>128</v>
      </c>
      <c r="C497" s="1">
        <f t="shared" si="7"/>
        <v>0.42416666666666669</v>
      </c>
      <c r="D497">
        <v>372.82789197961927</v>
      </c>
    </row>
    <row r="498" spans="1:4" x14ac:dyDescent="0.2">
      <c r="A498" t="s">
        <v>6</v>
      </c>
      <c r="B498" t="s">
        <v>60</v>
      </c>
      <c r="C498" s="1">
        <f t="shared" si="7"/>
        <v>0.42428240740740741</v>
      </c>
      <c r="D498">
        <v>294.24304958367333</v>
      </c>
    </row>
    <row r="499" spans="1:4" x14ac:dyDescent="0.2">
      <c r="A499" t="s">
        <v>6</v>
      </c>
      <c r="B499" t="s">
        <v>61</v>
      </c>
      <c r="C499" s="1">
        <f t="shared" si="7"/>
        <v>0.42429398148148151</v>
      </c>
      <c r="D499">
        <v>312.16815159607353</v>
      </c>
    </row>
    <row r="500" spans="1:4" x14ac:dyDescent="0.2">
      <c r="A500" t="s">
        <v>6</v>
      </c>
      <c r="B500" t="s">
        <v>62</v>
      </c>
      <c r="C500" s="1">
        <f t="shared" si="7"/>
        <v>0.42431712962962964</v>
      </c>
      <c r="D500">
        <v>285.83447607016859</v>
      </c>
    </row>
    <row r="501" spans="1:4" x14ac:dyDescent="0.2">
      <c r="A501" t="s">
        <v>6</v>
      </c>
      <c r="B501" t="s">
        <v>64</v>
      </c>
      <c r="C501" s="1">
        <f t="shared" si="7"/>
        <v>0.42434027777777777</v>
      </c>
      <c r="D501">
        <v>337.90227605447217</v>
      </c>
    </row>
    <row r="502" spans="1:4" x14ac:dyDescent="0.2">
      <c r="A502" t="s">
        <v>6</v>
      </c>
      <c r="B502" t="s">
        <v>143</v>
      </c>
      <c r="C502" s="1">
        <f t="shared" si="7"/>
        <v>0.42439814814814814</v>
      </c>
      <c r="D502">
        <v>415.21751877893155</v>
      </c>
    </row>
    <row r="503" spans="1:4" x14ac:dyDescent="0.2">
      <c r="A503" t="s">
        <v>6</v>
      </c>
      <c r="B503" t="s">
        <v>134</v>
      </c>
      <c r="C503" s="1">
        <f t="shared" si="7"/>
        <v>0.42560185185185184</v>
      </c>
      <c r="D503">
        <v>446.03605280388916</v>
      </c>
    </row>
    <row r="504" spans="1:4" x14ac:dyDescent="0.2">
      <c r="A504" t="s">
        <v>6</v>
      </c>
      <c r="B504" t="s">
        <v>72</v>
      </c>
      <c r="C504" s="1">
        <f t="shared" si="7"/>
        <v>0.42571759259259262</v>
      </c>
      <c r="D504">
        <v>473.27282287883565</v>
      </c>
    </row>
    <row r="505" spans="1:4" x14ac:dyDescent="0.2">
      <c r="A505" t="s">
        <v>6</v>
      </c>
      <c r="B505" t="s">
        <v>73</v>
      </c>
      <c r="C505" s="1">
        <f t="shared" si="7"/>
        <v>0.42572916666666666</v>
      </c>
      <c r="D505">
        <v>480.99661998040511</v>
      </c>
    </row>
    <row r="506" spans="1:4" x14ac:dyDescent="0.2">
      <c r="A506" t="s">
        <v>6</v>
      </c>
      <c r="B506" t="s">
        <v>74</v>
      </c>
      <c r="C506" s="1">
        <f t="shared" si="7"/>
        <v>0.42574074074074075</v>
      </c>
      <c r="D506">
        <v>480.39215469935351</v>
      </c>
    </row>
    <row r="507" spans="1:4" x14ac:dyDescent="0.2">
      <c r="A507" t="s">
        <v>6</v>
      </c>
      <c r="B507" t="s">
        <v>75</v>
      </c>
      <c r="C507" s="1">
        <f t="shared" si="7"/>
        <v>0.42984953703703704</v>
      </c>
      <c r="D507">
        <v>430.42316864512441</v>
      </c>
    </row>
    <row r="508" spans="1:4" x14ac:dyDescent="0.2">
      <c r="A508" t="s">
        <v>6</v>
      </c>
      <c r="B508" t="s">
        <v>76</v>
      </c>
      <c r="C508" s="1">
        <f t="shared" si="7"/>
        <v>0.42986111111111114</v>
      </c>
      <c r="D508">
        <v>418.78835690574516</v>
      </c>
    </row>
    <row r="509" spans="1:4" x14ac:dyDescent="0.2">
      <c r="A509" t="s">
        <v>6</v>
      </c>
      <c r="B509" t="s">
        <v>77</v>
      </c>
      <c r="C509" s="1">
        <f t="shared" si="7"/>
        <v>0.42987268518518518</v>
      </c>
      <c r="D509">
        <v>441.23300233389739</v>
      </c>
    </row>
    <row r="510" spans="1:4" x14ac:dyDescent="0.2">
      <c r="A510" t="s">
        <v>6</v>
      </c>
      <c r="B510" t="s">
        <v>78</v>
      </c>
      <c r="C510" s="1">
        <f t="shared" si="7"/>
        <v>0.42988425925925927</v>
      </c>
      <c r="D510">
        <v>435.15033339859104</v>
      </c>
    </row>
    <row r="511" spans="1:4" x14ac:dyDescent="0.2">
      <c r="A511" t="s">
        <v>6</v>
      </c>
      <c r="B511" t="s">
        <v>79</v>
      </c>
      <c r="C511" s="1">
        <f t="shared" si="7"/>
        <v>0.42989583333333331</v>
      </c>
      <c r="D511">
        <v>426.22276330979651</v>
      </c>
    </row>
    <row r="512" spans="1:4" x14ac:dyDescent="0.2">
      <c r="A512" t="s">
        <v>6</v>
      </c>
      <c r="B512" t="s">
        <v>82</v>
      </c>
      <c r="C512" s="1">
        <f t="shared" si="7"/>
        <v>0.42993055555555554</v>
      </c>
      <c r="D512">
        <v>419.87214106633428</v>
      </c>
    </row>
    <row r="513" spans="1:4" x14ac:dyDescent="0.2">
      <c r="A513" t="s">
        <v>6</v>
      </c>
      <c r="B513" t="s">
        <v>83</v>
      </c>
      <c r="C513" s="1">
        <f t="shared" si="7"/>
        <v>0.43129629629629629</v>
      </c>
      <c r="D513">
        <v>499.21155552448772</v>
      </c>
    </row>
    <row r="514" spans="1:4" x14ac:dyDescent="0.2">
      <c r="A514" t="s">
        <v>6</v>
      </c>
      <c r="B514" t="s">
        <v>84</v>
      </c>
      <c r="C514" s="1">
        <f t="shared" si="7"/>
        <v>0.43130787037037038</v>
      </c>
      <c r="D514">
        <v>502.0181748413687</v>
      </c>
    </row>
    <row r="515" spans="1:4" x14ac:dyDescent="0.2">
      <c r="A515" t="s">
        <v>6</v>
      </c>
      <c r="B515" t="s">
        <v>86</v>
      </c>
      <c r="C515" s="1">
        <f t="shared" si="7"/>
        <v>0.43275462962962963</v>
      </c>
      <c r="D515">
        <v>480.33806530600407</v>
      </c>
    </row>
    <row r="516" spans="1:4" x14ac:dyDescent="0.2">
      <c r="A516" t="s">
        <v>6</v>
      </c>
      <c r="B516" t="s">
        <v>88</v>
      </c>
      <c r="C516" s="1">
        <f t="shared" si="7"/>
        <v>0.43277777777777776</v>
      </c>
      <c r="D516">
        <v>504.57841938237448</v>
      </c>
    </row>
    <row r="517" spans="1:4" x14ac:dyDescent="0.2">
      <c r="A517" t="s">
        <v>6</v>
      </c>
      <c r="B517" t="s">
        <v>100</v>
      </c>
      <c r="C517" s="1">
        <f t="shared" ref="C517:C580" si="8">+TIME(HOUR(B517),MINUTE(B517),SECOND(B517))</f>
        <v>0.43739583333333332</v>
      </c>
      <c r="D517">
        <v>287.13282628434621</v>
      </c>
    </row>
    <row r="518" spans="1:4" x14ac:dyDescent="0.2">
      <c r="A518" t="s">
        <v>6</v>
      </c>
      <c r="B518" t="s">
        <v>101</v>
      </c>
      <c r="C518" s="1">
        <f t="shared" si="8"/>
        <v>0.43740740740740741</v>
      </c>
      <c r="D518">
        <v>287.59462105677949</v>
      </c>
    </row>
    <row r="519" spans="1:4" x14ac:dyDescent="0.2">
      <c r="A519" t="s">
        <v>6</v>
      </c>
      <c r="B519" t="s">
        <v>102</v>
      </c>
      <c r="C519" s="1">
        <f t="shared" si="8"/>
        <v>0.44165509259259261</v>
      </c>
      <c r="D519">
        <v>520.85981545719494</v>
      </c>
    </row>
    <row r="520" spans="1:4" x14ac:dyDescent="0.2">
      <c r="A520" t="s">
        <v>7</v>
      </c>
      <c r="B520" t="s">
        <v>8</v>
      </c>
      <c r="C520" s="1">
        <f t="shared" si="8"/>
        <v>0.40699074074074076</v>
      </c>
      <c r="D520">
        <v>275.53156274102668</v>
      </c>
    </row>
    <row r="521" spans="1:4" x14ac:dyDescent="0.2">
      <c r="A521" t="s">
        <v>7</v>
      </c>
      <c r="B521" t="s">
        <v>142</v>
      </c>
      <c r="C521" s="1">
        <f t="shared" si="8"/>
        <v>0.41550925925925924</v>
      </c>
      <c r="D521">
        <v>285.32748746295408</v>
      </c>
    </row>
    <row r="522" spans="1:4" x14ac:dyDescent="0.2">
      <c r="A522" t="s">
        <v>7</v>
      </c>
      <c r="B522" t="s">
        <v>9</v>
      </c>
      <c r="C522" s="1">
        <f t="shared" si="8"/>
        <v>0.41690972222222222</v>
      </c>
      <c r="D522">
        <v>280.73594888945814</v>
      </c>
    </row>
    <row r="523" spans="1:4" x14ac:dyDescent="0.2">
      <c r="A523" t="s">
        <v>7</v>
      </c>
      <c r="B523" t="s">
        <v>11</v>
      </c>
      <c r="C523" s="1">
        <f t="shared" si="8"/>
        <v>0.41693287037037036</v>
      </c>
      <c r="D523">
        <v>254.00268040223878</v>
      </c>
    </row>
    <row r="524" spans="1:4" x14ac:dyDescent="0.2">
      <c r="A524" t="s">
        <v>7</v>
      </c>
      <c r="B524" t="s">
        <v>14</v>
      </c>
      <c r="C524" s="1">
        <f t="shared" si="8"/>
        <v>0.41976851851851854</v>
      </c>
      <c r="D524">
        <v>429.62566848628552</v>
      </c>
    </row>
    <row r="525" spans="1:4" x14ac:dyDescent="0.2">
      <c r="A525" t="s">
        <v>7</v>
      </c>
      <c r="B525" t="s">
        <v>15</v>
      </c>
      <c r="C525" s="1">
        <f t="shared" si="8"/>
        <v>0.41978009259259258</v>
      </c>
      <c r="D525">
        <v>427.62023086220768</v>
      </c>
    </row>
    <row r="526" spans="1:4" x14ac:dyDescent="0.2">
      <c r="A526" t="s">
        <v>7</v>
      </c>
      <c r="B526" t="s">
        <v>16</v>
      </c>
      <c r="C526" s="1">
        <f t="shared" si="8"/>
        <v>0.41979166666666667</v>
      </c>
      <c r="D526">
        <v>422.91164762777402</v>
      </c>
    </row>
    <row r="527" spans="1:4" x14ac:dyDescent="0.2">
      <c r="A527" t="s">
        <v>7</v>
      </c>
      <c r="B527" t="s">
        <v>106</v>
      </c>
      <c r="C527" s="1">
        <f t="shared" si="8"/>
        <v>0.41980324074074077</v>
      </c>
      <c r="D527">
        <v>405.15187849916742</v>
      </c>
    </row>
    <row r="528" spans="1:4" x14ac:dyDescent="0.2">
      <c r="A528" t="s">
        <v>7</v>
      </c>
      <c r="B528" t="s">
        <v>107</v>
      </c>
      <c r="C528" s="1">
        <f t="shared" si="8"/>
        <v>0.41981481481481481</v>
      </c>
      <c r="D528">
        <v>386.0245221968197</v>
      </c>
    </row>
    <row r="529" spans="1:4" x14ac:dyDescent="0.2">
      <c r="A529" t="s">
        <v>7</v>
      </c>
      <c r="B529" t="s">
        <v>18</v>
      </c>
      <c r="C529" s="1">
        <f t="shared" si="8"/>
        <v>0.41987268518518517</v>
      </c>
      <c r="D529">
        <v>334.77241117719876</v>
      </c>
    </row>
    <row r="530" spans="1:4" x14ac:dyDescent="0.2">
      <c r="A530" t="s">
        <v>7</v>
      </c>
      <c r="B530" t="s">
        <v>19</v>
      </c>
      <c r="C530" s="1">
        <f t="shared" si="8"/>
        <v>0.41989583333333336</v>
      </c>
      <c r="D530">
        <v>363.08533322613289</v>
      </c>
    </row>
    <row r="531" spans="1:4" x14ac:dyDescent="0.2">
      <c r="A531" t="s">
        <v>7</v>
      </c>
      <c r="B531" t="s">
        <v>20</v>
      </c>
      <c r="C531" s="1">
        <f t="shared" si="8"/>
        <v>0.4199074074074074</v>
      </c>
      <c r="D531">
        <v>347.39086404230039</v>
      </c>
    </row>
    <row r="532" spans="1:4" x14ac:dyDescent="0.2">
      <c r="A532" t="s">
        <v>7</v>
      </c>
      <c r="B532" t="s">
        <v>21</v>
      </c>
      <c r="C532" s="1">
        <f t="shared" si="8"/>
        <v>0.41991898148148149</v>
      </c>
      <c r="D532">
        <v>368.17392786178124</v>
      </c>
    </row>
    <row r="533" spans="1:4" x14ac:dyDescent="0.2">
      <c r="A533" t="s">
        <v>7</v>
      </c>
      <c r="B533" t="s">
        <v>24</v>
      </c>
      <c r="C533" s="1">
        <f t="shared" si="8"/>
        <v>0.41995370370370372</v>
      </c>
      <c r="D533">
        <v>347.00753888541198</v>
      </c>
    </row>
    <row r="534" spans="1:4" x14ac:dyDescent="0.2">
      <c r="A534" t="s">
        <v>7</v>
      </c>
      <c r="B534" t="s">
        <v>26</v>
      </c>
      <c r="C534" s="1">
        <f t="shared" si="8"/>
        <v>0.41997685185185185</v>
      </c>
      <c r="D534">
        <v>354.45719035048501</v>
      </c>
    </row>
    <row r="535" spans="1:4" x14ac:dyDescent="0.2">
      <c r="A535" t="s">
        <v>7</v>
      </c>
      <c r="B535" t="s">
        <v>27</v>
      </c>
      <c r="C535" s="1">
        <f t="shared" si="8"/>
        <v>0.41998842592592595</v>
      </c>
      <c r="D535">
        <v>344.46450075765551</v>
      </c>
    </row>
    <row r="536" spans="1:4" x14ac:dyDescent="0.2">
      <c r="A536" t="s">
        <v>7</v>
      </c>
      <c r="B536" t="s">
        <v>28</v>
      </c>
      <c r="C536" s="1">
        <f t="shared" si="8"/>
        <v>0.42</v>
      </c>
      <c r="D536">
        <v>330.22652762107731</v>
      </c>
    </row>
    <row r="537" spans="1:4" x14ac:dyDescent="0.2">
      <c r="A537" t="s">
        <v>7</v>
      </c>
      <c r="B537" t="s">
        <v>29</v>
      </c>
      <c r="C537" s="1">
        <f t="shared" si="8"/>
        <v>0.42001157407407408</v>
      </c>
      <c r="D537">
        <v>345.24398643381528</v>
      </c>
    </row>
    <row r="538" spans="1:4" x14ac:dyDescent="0.2">
      <c r="A538" t="s">
        <v>7</v>
      </c>
      <c r="B538" t="s">
        <v>30</v>
      </c>
      <c r="C538" s="1">
        <f t="shared" si="8"/>
        <v>0.42002314814814817</v>
      </c>
      <c r="D538">
        <v>425.33500105344274</v>
      </c>
    </row>
    <row r="539" spans="1:4" x14ac:dyDescent="0.2">
      <c r="A539" t="s">
        <v>7</v>
      </c>
      <c r="B539" t="s">
        <v>31</v>
      </c>
      <c r="C539" s="1">
        <f t="shared" si="8"/>
        <v>0.42003472222222221</v>
      </c>
      <c r="D539">
        <v>436.0735832022217</v>
      </c>
    </row>
    <row r="540" spans="1:4" x14ac:dyDescent="0.2">
      <c r="A540" t="s">
        <v>7</v>
      </c>
      <c r="B540" t="s">
        <v>32</v>
      </c>
      <c r="C540" s="1">
        <f t="shared" si="8"/>
        <v>0.42004629629629631</v>
      </c>
      <c r="D540">
        <v>391.34137940349291</v>
      </c>
    </row>
    <row r="541" spans="1:4" x14ac:dyDescent="0.2">
      <c r="A541" t="s">
        <v>7</v>
      </c>
      <c r="B541" t="s">
        <v>33</v>
      </c>
      <c r="C541" s="1">
        <f t="shared" si="8"/>
        <v>0.42005787037037035</v>
      </c>
      <c r="D541">
        <v>376.86761051547319</v>
      </c>
    </row>
    <row r="542" spans="1:4" x14ac:dyDescent="0.2">
      <c r="A542" t="s">
        <v>7</v>
      </c>
      <c r="B542" t="s">
        <v>34</v>
      </c>
      <c r="C542" s="1">
        <f t="shared" si="8"/>
        <v>0.42006944444444444</v>
      </c>
      <c r="D542">
        <v>368.66815483548714</v>
      </c>
    </row>
    <row r="543" spans="1:4" x14ac:dyDescent="0.2">
      <c r="A543" t="s">
        <v>7</v>
      </c>
      <c r="B543" t="s">
        <v>35</v>
      </c>
      <c r="C543" s="1">
        <f t="shared" si="8"/>
        <v>0.42008101851851853</v>
      </c>
      <c r="D543">
        <v>368.72814845042785</v>
      </c>
    </row>
    <row r="544" spans="1:4" x14ac:dyDescent="0.2">
      <c r="A544" t="s">
        <v>7</v>
      </c>
      <c r="B544" t="s">
        <v>36</v>
      </c>
      <c r="C544" s="1">
        <f t="shared" si="8"/>
        <v>0.42009259259259257</v>
      </c>
      <c r="D544">
        <v>421.89438823394181</v>
      </c>
    </row>
    <row r="545" spans="1:4" x14ac:dyDescent="0.2">
      <c r="A545" t="s">
        <v>7</v>
      </c>
      <c r="B545" t="s">
        <v>37</v>
      </c>
      <c r="C545" s="1">
        <f t="shared" si="8"/>
        <v>0.42010416666666667</v>
      </c>
      <c r="D545">
        <v>377.57905707913807</v>
      </c>
    </row>
    <row r="546" spans="1:4" x14ac:dyDescent="0.2">
      <c r="A546" t="s">
        <v>7</v>
      </c>
      <c r="B546" t="s">
        <v>38</v>
      </c>
      <c r="C546" s="1">
        <f t="shared" si="8"/>
        <v>0.42011574074074076</v>
      </c>
      <c r="D546">
        <v>360.97530439069374</v>
      </c>
    </row>
    <row r="547" spans="1:4" x14ac:dyDescent="0.2">
      <c r="A547" t="s">
        <v>7</v>
      </c>
      <c r="B547" t="s">
        <v>39</v>
      </c>
      <c r="C547" s="1">
        <f t="shared" si="8"/>
        <v>0.4201273148148148</v>
      </c>
      <c r="D547">
        <v>353.67612025525472</v>
      </c>
    </row>
    <row r="548" spans="1:4" x14ac:dyDescent="0.2">
      <c r="A548" t="s">
        <v>7</v>
      </c>
      <c r="B548" t="s">
        <v>40</v>
      </c>
      <c r="C548" s="1">
        <f t="shared" si="8"/>
        <v>0.4201388888888889</v>
      </c>
      <c r="D548">
        <v>356.20663218204913</v>
      </c>
    </row>
    <row r="549" spans="1:4" x14ac:dyDescent="0.2">
      <c r="A549" t="s">
        <v>7</v>
      </c>
      <c r="B549" t="s">
        <v>41</v>
      </c>
      <c r="C549" s="1">
        <f t="shared" si="8"/>
        <v>0.42015046296296299</v>
      </c>
      <c r="D549">
        <v>361.57409946129951</v>
      </c>
    </row>
    <row r="550" spans="1:4" x14ac:dyDescent="0.2">
      <c r="A550" t="s">
        <v>7</v>
      </c>
      <c r="B550" t="s">
        <v>112</v>
      </c>
      <c r="C550" s="1">
        <f t="shared" si="8"/>
        <v>0.42122685185185182</v>
      </c>
      <c r="D550">
        <v>322.00829146701511</v>
      </c>
    </row>
    <row r="551" spans="1:4" x14ac:dyDescent="0.2">
      <c r="A551" t="s">
        <v>7</v>
      </c>
      <c r="B551" t="s">
        <v>43</v>
      </c>
      <c r="C551" s="1">
        <f t="shared" si="8"/>
        <v>0.42129629629629628</v>
      </c>
      <c r="D551">
        <v>416.66446068742812</v>
      </c>
    </row>
    <row r="552" spans="1:4" x14ac:dyDescent="0.2">
      <c r="A552" t="s">
        <v>7</v>
      </c>
      <c r="B552" t="s">
        <v>44</v>
      </c>
      <c r="C552" s="1">
        <f t="shared" si="8"/>
        <v>0.4226273148148148</v>
      </c>
      <c r="D552">
        <v>444.78196417484889</v>
      </c>
    </row>
    <row r="553" spans="1:4" x14ac:dyDescent="0.2">
      <c r="A553" t="s">
        <v>7</v>
      </c>
      <c r="B553" t="s">
        <v>45</v>
      </c>
      <c r="C553" s="1">
        <f t="shared" si="8"/>
        <v>0.4226388888888889</v>
      </c>
      <c r="D553">
        <v>526.12396753006669</v>
      </c>
    </row>
    <row r="554" spans="1:4" x14ac:dyDescent="0.2">
      <c r="A554" t="s">
        <v>7</v>
      </c>
      <c r="B554" t="s">
        <v>46</v>
      </c>
      <c r="C554" s="1">
        <f t="shared" si="8"/>
        <v>0.42265046296296294</v>
      </c>
      <c r="D554">
        <v>536.20951880724976</v>
      </c>
    </row>
    <row r="555" spans="1:4" x14ac:dyDescent="0.2">
      <c r="A555" t="s">
        <v>7</v>
      </c>
      <c r="B555" t="s">
        <v>48</v>
      </c>
      <c r="C555" s="1">
        <f t="shared" si="8"/>
        <v>0.42267361111111112</v>
      </c>
      <c r="D555">
        <v>485.38875384932584</v>
      </c>
    </row>
    <row r="556" spans="1:4" x14ac:dyDescent="0.2">
      <c r="A556" t="s">
        <v>7</v>
      </c>
      <c r="B556" t="s">
        <v>49</v>
      </c>
      <c r="C556" s="1">
        <f t="shared" si="8"/>
        <v>0.42269675925925926</v>
      </c>
      <c r="D556">
        <v>481.9805903006478</v>
      </c>
    </row>
    <row r="557" spans="1:4" x14ac:dyDescent="0.2">
      <c r="A557" t="s">
        <v>7</v>
      </c>
      <c r="B557" t="s">
        <v>50</v>
      </c>
      <c r="C557" s="1">
        <f t="shared" si="8"/>
        <v>0.42270833333333335</v>
      </c>
      <c r="D557">
        <v>482.90331921784991</v>
      </c>
    </row>
    <row r="558" spans="1:4" x14ac:dyDescent="0.2">
      <c r="A558" t="s">
        <v>7</v>
      </c>
      <c r="B558" t="s">
        <v>144</v>
      </c>
      <c r="C558" s="1">
        <f t="shared" si="8"/>
        <v>0.42271990740740739</v>
      </c>
      <c r="D558">
        <v>507.27630414065561</v>
      </c>
    </row>
    <row r="559" spans="1:4" x14ac:dyDescent="0.2">
      <c r="A559" t="s">
        <v>7</v>
      </c>
      <c r="B559" t="s">
        <v>145</v>
      </c>
      <c r="C559" s="1">
        <f t="shared" si="8"/>
        <v>0.42273148148148149</v>
      </c>
      <c r="D559">
        <v>534.34441293968553</v>
      </c>
    </row>
    <row r="560" spans="1:4" x14ac:dyDescent="0.2">
      <c r="A560" t="s">
        <v>7</v>
      </c>
      <c r="B560" t="s">
        <v>51</v>
      </c>
      <c r="C560" s="1">
        <f t="shared" si="8"/>
        <v>0.42275462962962962</v>
      </c>
      <c r="D560">
        <v>485.90388838809514</v>
      </c>
    </row>
    <row r="561" spans="1:4" x14ac:dyDescent="0.2">
      <c r="A561" t="s">
        <v>7</v>
      </c>
      <c r="B561" t="s">
        <v>124</v>
      </c>
      <c r="C561" s="1">
        <f t="shared" si="8"/>
        <v>0.42296296296296299</v>
      </c>
      <c r="D561">
        <v>530.20009958283379</v>
      </c>
    </row>
    <row r="562" spans="1:4" x14ac:dyDescent="0.2">
      <c r="A562" t="s">
        <v>7</v>
      </c>
      <c r="B562" t="s">
        <v>125</v>
      </c>
      <c r="C562" s="1">
        <f t="shared" si="8"/>
        <v>0.42297453703703702</v>
      </c>
      <c r="D562">
        <v>498.96541284965997</v>
      </c>
    </row>
    <row r="563" spans="1:4" x14ac:dyDescent="0.2">
      <c r="A563" t="s">
        <v>7</v>
      </c>
      <c r="B563" t="s">
        <v>127</v>
      </c>
      <c r="C563" s="1">
        <f t="shared" si="8"/>
        <v>0.4241550925925926</v>
      </c>
      <c r="D563">
        <v>414.64990233548832</v>
      </c>
    </row>
    <row r="564" spans="1:4" x14ac:dyDescent="0.2">
      <c r="A564" t="s">
        <v>7</v>
      </c>
      <c r="B564" t="s">
        <v>128</v>
      </c>
      <c r="C564" s="1">
        <f t="shared" si="8"/>
        <v>0.42416666666666669</v>
      </c>
      <c r="D564">
        <v>402.79034010500027</v>
      </c>
    </row>
    <row r="565" spans="1:4" x14ac:dyDescent="0.2">
      <c r="A565" t="s">
        <v>7</v>
      </c>
      <c r="B565" t="s">
        <v>129</v>
      </c>
      <c r="C565" s="1">
        <f t="shared" si="8"/>
        <v>0.42417824074074073</v>
      </c>
      <c r="D565">
        <v>377.90513032845001</v>
      </c>
    </row>
    <row r="566" spans="1:4" x14ac:dyDescent="0.2">
      <c r="A566" t="s">
        <v>7</v>
      </c>
      <c r="B566" t="s">
        <v>57</v>
      </c>
      <c r="C566" s="1">
        <f t="shared" si="8"/>
        <v>0.42424768518518519</v>
      </c>
      <c r="D566">
        <v>434.63606292066834</v>
      </c>
    </row>
    <row r="567" spans="1:4" x14ac:dyDescent="0.2">
      <c r="A567" t="s">
        <v>7</v>
      </c>
      <c r="B567" t="s">
        <v>58</v>
      </c>
      <c r="C567" s="1">
        <f t="shared" si="8"/>
        <v>0.42425925925925928</v>
      </c>
      <c r="D567">
        <v>444.58901263746424</v>
      </c>
    </row>
    <row r="568" spans="1:4" x14ac:dyDescent="0.2">
      <c r="A568" t="s">
        <v>7</v>
      </c>
      <c r="B568" t="s">
        <v>59</v>
      </c>
      <c r="C568" s="1">
        <f t="shared" si="8"/>
        <v>0.42427083333333332</v>
      </c>
      <c r="D568">
        <v>450.7215790353207</v>
      </c>
    </row>
    <row r="569" spans="1:4" x14ac:dyDescent="0.2">
      <c r="A569" t="s">
        <v>7</v>
      </c>
      <c r="B569" t="s">
        <v>60</v>
      </c>
      <c r="C569" s="1">
        <f t="shared" si="8"/>
        <v>0.42428240740740741</v>
      </c>
      <c r="D569">
        <v>454.9277262165258</v>
      </c>
    </row>
    <row r="570" spans="1:4" x14ac:dyDescent="0.2">
      <c r="A570" t="s">
        <v>7</v>
      </c>
      <c r="B570" t="s">
        <v>61</v>
      </c>
      <c r="C570" s="1">
        <f t="shared" si="8"/>
        <v>0.42429398148148151</v>
      </c>
      <c r="D570">
        <v>457.14635106777013</v>
      </c>
    </row>
    <row r="571" spans="1:4" x14ac:dyDescent="0.2">
      <c r="A571" t="s">
        <v>7</v>
      </c>
      <c r="B571" t="s">
        <v>130</v>
      </c>
      <c r="C571" s="1">
        <f t="shared" si="8"/>
        <v>0.42430555555555555</v>
      </c>
      <c r="D571">
        <v>457.04614059701629</v>
      </c>
    </row>
    <row r="572" spans="1:4" x14ac:dyDescent="0.2">
      <c r="A572" t="s">
        <v>7</v>
      </c>
      <c r="B572" t="s">
        <v>62</v>
      </c>
      <c r="C572" s="1">
        <f t="shared" si="8"/>
        <v>0.42431712962962964</v>
      </c>
      <c r="D572">
        <v>462.81418483886478</v>
      </c>
    </row>
    <row r="573" spans="1:4" x14ac:dyDescent="0.2">
      <c r="A573" t="s">
        <v>7</v>
      </c>
      <c r="B573" t="s">
        <v>70</v>
      </c>
      <c r="C573" s="1">
        <f t="shared" si="8"/>
        <v>0.4256597222222222</v>
      </c>
      <c r="D573">
        <v>369.57851402625232</v>
      </c>
    </row>
    <row r="574" spans="1:4" x14ac:dyDescent="0.2">
      <c r="A574" t="s">
        <v>7</v>
      </c>
      <c r="B574" t="s">
        <v>137</v>
      </c>
      <c r="C574" s="1">
        <f t="shared" si="8"/>
        <v>0.42570601851851853</v>
      </c>
      <c r="D574">
        <v>419.96978848014675</v>
      </c>
    </row>
    <row r="575" spans="1:4" x14ac:dyDescent="0.2">
      <c r="A575" t="s">
        <v>7</v>
      </c>
      <c r="B575" t="s">
        <v>72</v>
      </c>
      <c r="C575" s="1">
        <f t="shared" si="8"/>
        <v>0.42571759259259262</v>
      </c>
      <c r="D575">
        <v>464.76241023227016</v>
      </c>
    </row>
    <row r="576" spans="1:4" x14ac:dyDescent="0.2">
      <c r="A576" t="s">
        <v>7</v>
      </c>
      <c r="B576" t="s">
        <v>73</v>
      </c>
      <c r="C576" s="1">
        <f t="shared" si="8"/>
        <v>0.42572916666666666</v>
      </c>
      <c r="D576">
        <v>425.10448380621995</v>
      </c>
    </row>
    <row r="577" spans="1:4" x14ac:dyDescent="0.2">
      <c r="A577" t="s">
        <v>7</v>
      </c>
      <c r="B577" t="s">
        <v>74</v>
      </c>
      <c r="C577" s="1">
        <f t="shared" si="8"/>
        <v>0.42574074074074075</v>
      </c>
      <c r="D577">
        <v>430.83847162838759</v>
      </c>
    </row>
    <row r="578" spans="1:4" x14ac:dyDescent="0.2">
      <c r="A578" t="s">
        <v>7</v>
      </c>
      <c r="B578" t="s">
        <v>75</v>
      </c>
      <c r="C578" s="1">
        <f t="shared" si="8"/>
        <v>0.42984953703703704</v>
      </c>
      <c r="D578">
        <v>413.29584468045425</v>
      </c>
    </row>
    <row r="579" spans="1:4" x14ac:dyDescent="0.2">
      <c r="A579" t="s">
        <v>7</v>
      </c>
      <c r="B579" t="s">
        <v>76</v>
      </c>
      <c r="C579" s="1">
        <f t="shared" si="8"/>
        <v>0.42986111111111114</v>
      </c>
      <c r="D579">
        <v>403.35872578360596</v>
      </c>
    </row>
    <row r="580" spans="1:4" x14ac:dyDescent="0.2">
      <c r="A580" t="s">
        <v>7</v>
      </c>
      <c r="B580" t="s">
        <v>77</v>
      </c>
      <c r="C580" s="1">
        <f t="shared" si="8"/>
        <v>0.42987268518518518</v>
      </c>
      <c r="D580">
        <v>397.3725692266234</v>
      </c>
    </row>
    <row r="581" spans="1:4" x14ac:dyDescent="0.2">
      <c r="A581" t="s">
        <v>7</v>
      </c>
      <c r="B581" t="s">
        <v>78</v>
      </c>
      <c r="C581" s="1">
        <f t="shared" ref="C581:C603" si="9">+TIME(HOUR(B581),MINUTE(B581),SECOND(B581))</f>
        <v>0.42988425925925927</v>
      </c>
      <c r="D581">
        <v>395.99180136271218</v>
      </c>
    </row>
    <row r="582" spans="1:4" x14ac:dyDescent="0.2">
      <c r="A582" t="s">
        <v>7</v>
      </c>
      <c r="B582" t="s">
        <v>79</v>
      </c>
      <c r="C582" s="1">
        <f t="shared" si="9"/>
        <v>0.42989583333333331</v>
      </c>
      <c r="D582">
        <v>399.19135457173718</v>
      </c>
    </row>
    <row r="583" spans="1:4" x14ac:dyDescent="0.2">
      <c r="A583" t="s">
        <v>7</v>
      </c>
      <c r="B583" t="s">
        <v>80</v>
      </c>
      <c r="C583" s="1">
        <f t="shared" si="9"/>
        <v>0.4299074074074074</v>
      </c>
      <c r="D583">
        <v>401.14785740436537</v>
      </c>
    </row>
    <row r="584" spans="1:4" x14ac:dyDescent="0.2">
      <c r="A584" t="s">
        <v>7</v>
      </c>
      <c r="B584" t="s">
        <v>81</v>
      </c>
      <c r="C584" s="1">
        <f t="shared" si="9"/>
        <v>0.4299189814814815</v>
      </c>
      <c r="D584">
        <v>393.88564350040173</v>
      </c>
    </row>
    <row r="585" spans="1:4" x14ac:dyDescent="0.2">
      <c r="A585" t="s">
        <v>7</v>
      </c>
      <c r="B585" t="s">
        <v>82</v>
      </c>
      <c r="C585" s="1">
        <f t="shared" si="9"/>
        <v>0.42993055555555554</v>
      </c>
      <c r="D585">
        <v>391.04327429216403</v>
      </c>
    </row>
    <row r="586" spans="1:4" x14ac:dyDescent="0.2">
      <c r="A586" t="s">
        <v>7</v>
      </c>
      <c r="B586" t="s">
        <v>83</v>
      </c>
      <c r="C586" s="1">
        <f t="shared" si="9"/>
        <v>0.43129629629629629</v>
      </c>
      <c r="D586">
        <v>418.40919079737938</v>
      </c>
    </row>
    <row r="587" spans="1:4" x14ac:dyDescent="0.2">
      <c r="A587" t="s">
        <v>7</v>
      </c>
      <c r="B587" t="s">
        <v>84</v>
      </c>
      <c r="C587" s="1">
        <f t="shared" si="9"/>
        <v>0.43130787037037038</v>
      </c>
      <c r="D587">
        <v>426.66999586552288</v>
      </c>
    </row>
    <row r="588" spans="1:4" x14ac:dyDescent="0.2">
      <c r="A588" t="s">
        <v>7</v>
      </c>
      <c r="B588" t="s">
        <v>85</v>
      </c>
      <c r="C588" s="1">
        <f t="shared" si="9"/>
        <v>0.43131944444444442</v>
      </c>
      <c r="D588">
        <v>423.00129874451699</v>
      </c>
    </row>
    <row r="589" spans="1:4" x14ac:dyDescent="0.2">
      <c r="A589" t="s">
        <v>7</v>
      </c>
      <c r="B589" t="s">
        <v>140</v>
      </c>
      <c r="C589" s="1">
        <f t="shared" si="9"/>
        <v>0.43133101851851852</v>
      </c>
      <c r="D589">
        <v>431.19137222961893</v>
      </c>
    </row>
    <row r="590" spans="1:4" x14ac:dyDescent="0.2">
      <c r="A590" t="s">
        <v>7</v>
      </c>
      <c r="B590" t="s">
        <v>141</v>
      </c>
      <c r="C590" s="1">
        <f t="shared" si="9"/>
        <v>0.43134259259259261</v>
      </c>
      <c r="D590">
        <v>427.25132277952025</v>
      </c>
    </row>
    <row r="591" spans="1:4" x14ac:dyDescent="0.2">
      <c r="A591" t="s">
        <v>7</v>
      </c>
      <c r="B591" t="s">
        <v>146</v>
      </c>
      <c r="C591" s="1">
        <f t="shared" si="9"/>
        <v>0.43135416666666665</v>
      </c>
      <c r="D591">
        <v>429.96999354969188</v>
      </c>
    </row>
    <row r="592" spans="1:4" x14ac:dyDescent="0.2">
      <c r="A592" t="s">
        <v>7</v>
      </c>
      <c r="B592" t="s">
        <v>88</v>
      </c>
      <c r="C592" s="1">
        <f t="shared" si="9"/>
        <v>0.43277777777777776</v>
      </c>
      <c r="D592">
        <v>336.51118362035731</v>
      </c>
    </row>
    <row r="593" spans="1:4" x14ac:dyDescent="0.2">
      <c r="A593" t="s">
        <v>7</v>
      </c>
      <c r="B593" t="s">
        <v>89</v>
      </c>
      <c r="C593" s="1">
        <f t="shared" si="9"/>
        <v>0.43278935185185186</v>
      </c>
      <c r="D593">
        <v>358.6250561556555</v>
      </c>
    </row>
    <row r="594" spans="1:4" x14ac:dyDescent="0.2">
      <c r="A594" t="s">
        <v>7</v>
      </c>
      <c r="B594" t="s">
        <v>90</v>
      </c>
      <c r="C594" s="1">
        <f t="shared" si="9"/>
        <v>0.43280092592592595</v>
      </c>
      <c r="D594">
        <v>360.97124396655693</v>
      </c>
    </row>
    <row r="595" spans="1:4" x14ac:dyDescent="0.2">
      <c r="A595" t="s">
        <v>7</v>
      </c>
      <c r="B595" t="s">
        <v>91</v>
      </c>
      <c r="C595" s="1">
        <f t="shared" si="9"/>
        <v>0.43281249999999999</v>
      </c>
      <c r="D595">
        <v>371.14106686019602</v>
      </c>
    </row>
    <row r="596" spans="1:4" x14ac:dyDescent="0.2">
      <c r="A596" t="s">
        <v>7</v>
      </c>
      <c r="B596" t="s">
        <v>92</v>
      </c>
      <c r="C596" s="1">
        <f t="shared" si="9"/>
        <v>0.43282407407407408</v>
      </c>
      <c r="D596">
        <v>328.55243439752331</v>
      </c>
    </row>
    <row r="597" spans="1:4" x14ac:dyDescent="0.2">
      <c r="A597" t="s">
        <v>7</v>
      </c>
      <c r="B597" t="s">
        <v>93</v>
      </c>
      <c r="C597" s="1">
        <f t="shared" si="9"/>
        <v>0.43283564814814812</v>
      </c>
      <c r="D597">
        <v>343.8632259765821</v>
      </c>
    </row>
    <row r="598" spans="1:4" x14ac:dyDescent="0.2">
      <c r="A598" t="s">
        <v>7</v>
      </c>
      <c r="B598" t="s">
        <v>97</v>
      </c>
      <c r="C598" s="1">
        <f t="shared" si="9"/>
        <v>0.43288194444444444</v>
      </c>
      <c r="D598">
        <v>387.37225806715196</v>
      </c>
    </row>
    <row r="599" spans="1:4" x14ac:dyDescent="0.2">
      <c r="A599" t="s">
        <v>7</v>
      </c>
      <c r="B599" t="s">
        <v>98</v>
      </c>
      <c r="C599" s="1">
        <f t="shared" si="9"/>
        <v>0.43289351851851854</v>
      </c>
      <c r="D599">
        <v>361.95575322885287</v>
      </c>
    </row>
    <row r="600" spans="1:4" x14ac:dyDescent="0.2">
      <c r="A600" t="s">
        <v>7</v>
      </c>
      <c r="B600" t="s">
        <v>99</v>
      </c>
      <c r="C600" s="1">
        <f t="shared" si="9"/>
        <v>0.43290509259259258</v>
      </c>
      <c r="D600">
        <v>369.71248467858038</v>
      </c>
    </row>
    <row r="601" spans="1:4" x14ac:dyDescent="0.2">
      <c r="A601" t="s">
        <v>7</v>
      </c>
      <c r="B601" t="s">
        <v>100</v>
      </c>
      <c r="C601" s="1">
        <f t="shared" si="9"/>
        <v>0.43739583333333332</v>
      </c>
      <c r="D601">
        <v>420.13902570038414</v>
      </c>
    </row>
    <row r="602" spans="1:4" x14ac:dyDescent="0.2">
      <c r="A602" t="s">
        <v>7</v>
      </c>
      <c r="B602" t="s">
        <v>101</v>
      </c>
      <c r="C602" s="1">
        <f t="shared" si="9"/>
        <v>0.43740740740740741</v>
      </c>
      <c r="D602">
        <v>421.13360253684999</v>
      </c>
    </row>
    <row r="603" spans="1:4" x14ac:dyDescent="0.2">
      <c r="A603" t="s">
        <v>7</v>
      </c>
      <c r="B603" t="s">
        <v>102</v>
      </c>
      <c r="C603" s="1">
        <f t="shared" si="9"/>
        <v>0.44165509259259261</v>
      </c>
      <c r="D603">
        <v>492.67179831550959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2D49-0D2E-7241-93DF-CA4C9FBBE9D0}">
  <dimension ref="A3:AC144"/>
  <sheetViews>
    <sheetView topLeftCell="L1" workbookViewId="0">
      <selection activeCell="V5" sqref="V5:AC143"/>
    </sheetView>
  </sheetViews>
  <sheetFormatPr baseColWidth="10" defaultRowHeight="15" x14ac:dyDescent="0.2"/>
  <cols>
    <col min="1" max="1" width="15.5" bestFit="1" customWidth="1"/>
    <col min="2" max="2" width="14.83203125" bestFit="1" customWidth="1"/>
    <col min="3" max="5" width="5.83203125" bestFit="1" customWidth="1"/>
    <col min="6" max="8" width="4.83203125" bestFit="1" customWidth="1"/>
    <col min="9" max="9" width="10" bestFit="1" customWidth="1"/>
    <col min="10" max="10" width="10" customWidth="1"/>
  </cols>
  <sheetData>
    <row r="3" spans="1:29" x14ac:dyDescent="0.2">
      <c r="A3" s="3" t="s">
        <v>153</v>
      </c>
      <c r="B3" s="3" t="s">
        <v>152</v>
      </c>
    </row>
    <row r="4" spans="1:29" x14ac:dyDescent="0.2">
      <c r="A4" s="3" t="s">
        <v>150</v>
      </c>
      <c r="B4" t="s">
        <v>4</v>
      </c>
      <c r="C4" t="s">
        <v>5</v>
      </c>
      <c r="D4" t="s">
        <v>6</v>
      </c>
      <c r="E4" t="s">
        <v>7</v>
      </c>
      <c r="F4" t="s">
        <v>1</v>
      </c>
      <c r="G4" t="s">
        <v>2</v>
      </c>
      <c r="H4" t="s">
        <v>3</v>
      </c>
      <c r="I4" t="s">
        <v>151</v>
      </c>
      <c r="K4" t="s">
        <v>150</v>
      </c>
      <c r="L4" t="s">
        <v>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151</v>
      </c>
      <c r="W4" s="7" t="s">
        <v>1</v>
      </c>
      <c r="X4" s="7" t="s">
        <v>2</v>
      </c>
      <c r="Y4" s="7" t="s">
        <v>3</v>
      </c>
      <c r="Z4" s="7" t="s">
        <v>4</v>
      </c>
      <c r="AA4" s="7" t="s">
        <v>5</v>
      </c>
      <c r="AB4" s="7" t="s">
        <v>6</v>
      </c>
      <c r="AC4" s="7" t="s">
        <v>7</v>
      </c>
    </row>
    <row r="5" spans="1:29" x14ac:dyDescent="0.2">
      <c r="A5" s="5">
        <v>0.40699074074074076</v>
      </c>
      <c r="B5" s="4">
        <v>1</v>
      </c>
      <c r="C5" s="4">
        <v>1</v>
      </c>
      <c r="D5" s="4"/>
      <c r="E5" s="4">
        <v>1</v>
      </c>
      <c r="F5" s="4">
        <v>1</v>
      </c>
      <c r="G5" s="4">
        <v>1</v>
      </c>
      <c r="H5" s="4">
        <v>1</v>
      </c>
      <c r="I5" s="4">
        <v>6</v>
      </c>
      <c r="J5" s="4"/>
      <c r="K5">
        <v>0.40699074074074076</v>
      </c>
      <c r="L5">
        <v>1</v>
      </c>
      <c r="M5">
        <v>1</v>
      </c>
      <c r="N5">
        <v>1</v>
      </c>
      <c r="O5">
        <v>1</v>
      </c>
      <c r="P5">
        <v>1</v>
      </c>
      <c r="R5">
        <v>1</v>
      </c>
      <c r="S5">
        <v>6</v>
      </c>
      <c r="V5" s="8">
        <v>0.40699074074074076</v>
      </c>
      <c r="W5">
        <f>+IF(SUMIFS(Data_Long_Form!$D:$D,Data_Long_Form!$C:$C,Data_Pivot_Table!$V5,Data_Long_Form!$A:$A,Data_Pivot_Table!W$4)=0,"",SUMIFS(Data_Long_Form!$D:$D,Data_Long_Form!$C:$C,Data_Pivot_Table!$V5,Data_Long_Form!$A:$A,Data_Pivot_Table!W$4))</f>
        <v>225.33325198560496</v>
      </c>
      <c r="X5">
        <f>+IF(SUMIFS(Data_Long_Form!$D:$D,Data_Long_Form!$C:$C,Data_Pivot_Table!$V5,Data_Long_Form!$A:$A,Data_Pivot_Table!X$4)=0,"",SUMIFS(Data_Long_Form!$D:$D,Data_Long_Form!$C:$C,Data_Pivot_Table!$V5,Data_Long_Form!$A:$A,Data_Pivot_Table!X$4))</f>
        <v>232.71642418074956</v>
      </c>
      <c r="Y5">
        <f>+IF(SUMIFS(Data_Long_Form!$D:$D,Data_Long_Form!$C:$C,Data_Pivot_Table!$V5,Data_Long_Form!$A:$A,Data_Pivot_Table!Y$4)=0,"",SUMIFS(Data_Long_Form!$D:$D,Data_Long_Form!$C:$C,Data_Pivot_Table!$V5,Data_Long_Form!$A:$A,Data_Pivot_Table!Y$4))</f>
        <v>182.48870967683118</v>
      </c>
      <c r="Z5">
        <f>+IF(SUMIFS(Data_Long_Form!$D:$D,Data_Long_Form!$C:$C,Data_Pivot_Table!$V5,Data_Long_Form!$A:$A,Data_Pivot_Table!Z$4)=0,"",SUMIFS(Data_Long_Form!$D:$D,Data_Long_Form!$C:$C,Data_Pivot_Table!$V5,Data_Long_Form!$A:$A,Data_Pivot_Table!Z$4))</f>
        <v>286.57322380534544</v>
      </c>
      <c r="AA5">
        <f>+IF(SUMIFS(Data_Long_Form!$D:$D,Data_Long_Form!$C:$C,Data_Pivot_Table!$V5,Data_Long_Form!$A:$A,Data_Pivot_Table!AA$4)=0,"",SUMIFS(Data_Long_Form!$D:$D,Data_Long_Form!$C:$C,Data_Pivot_Table!$V5,Data_Long_Form!$A:$A,Data_Pivot_Table!AA$4))</f>
        <v>277.00135086629433</v>
      </c>
      <c r="AB5" t="str">
        <f>+IF(SUMIFS(Data_Long_Form!$D:$D,Data_Long_Form!$C:$C,Data_Pivot_Table!$V5,Data_Long_Form!$A:$A,Data_Pivot_Table!AB$4)=0,"",SUMIFS(Data_Long_Form!$D:$D,Data_Long_Form!$C:$C,Data_Pivot_Table!$V5,Data_Long_Form!$A:$A,Data_Pivot_Table!AB$4))</f>
        <v/>
      </c>
      <c r="AC5">
        <f>+IF(SUMIFS(Data_Long_Form!$D:$D,Data_Long_Form!$C:$C,Data_Pivot_Table!$V5,Data_Long_Form!$A:$A,Data_Pivot_Table!AC$4)=0,"",SUMIFS(Data_Long_Form!$D:$D,Data_Long_Form!$C:$C,Data_Pivot_Table!$V5,Data_Long_Form!$A:$A,Data_Pivot_Table!AC$4))</f>
        <v>275.53156274102668</v>
      </c>
    </row>
    <row r="6" spans="1:29" x14ac:dyDescent="0.2">
      <c r="A6" s="5">
        <v>0.41550925925925924</v>
      </c>
      <c r="B6" s="4"/>
      <c r="C6" s="4">
        <v>1</v>
      </c>
      <c r="D6" s="4">
        <v>1</v>
      </c>
      <c r="E6" s="4">
        <v>1</v>
      </c>
      <c r="F6" s="4"/>
      <c r="G6" s="4"/>
      <c r="H6" s="4"/>
      <c r="I6" s="4">
        <v>3</v>
      </c>
      <c r="J6" s="4"/>
      <c r="K6">
        <v>0.41550925925925924</v>
      </c>
      <c r="P6">
        <v>1</v>
      </c>
      <c r="Q6">
        <v>1</v>
      </c>
      <c r="R6">
        <v>1</v>
      </c>
      <c r="S6">
        <v>3</v>
      </c>
      <c r="V6" s="8">
        <v>0.41550925925925924</v>
      </c>
      <c r="W6" t="str">
        <f>+IF(SUMIFS(Data_Long_Form!$D:$D,Data_Long_Form!$C:$C,Data_Pivot_Table!$V6,Data_Long_Form!$A:$A,Data_Pivot_Table!W$4)=0,"",SUMIFS(Data_Long_Form!$D:$D,Data_Long_Form!$C:$C,Data_Pivot_Table!$V6,Data_Long_Form!$A:$A,Data_Pivot_Table!W$4))</f>
        <v/>
      </c>
      <c r="X6" t="str">
        <f>+IF(SUMIFS(Data_Long_Form!$D:$D,Data_Long_Form!$C:$C,Data_Pivot_Table!$V6,Data_Long_Form!$A:$A,Data_Pivot_Table!X$4)=0,"",SUMIFS(Data_Long_Form!$D:$D,Data_Long_Form!$C:$C,Data_Pivot_Table!$V6,Data_Long_Form!$A:$A,Data_Pivot_Table!X$4))</f>
        <v/>
      </c>
      <c r="Y6" t="str">
        <f>+IF(SUMIFS(Data_Long_Form!$D:$D,Data_Long_Form!$C:$C,Data_Pivot_Table!$V6,Data_Long_Form!$A:$A,Data_Pivot_Table!Y$4)=0,"",SUMIFS(Data_Long_Form!$D:$D,Data_Long_Form!$C:$C,Data_Pivot_Table!$V6,Data_Long_Form!$A:$A,Data_Pivot_Table!Y$4))</f>
        <v/>
      </c>
      <c r="Z6" t="str">
        <f>+IF(SUMIFS(Data_Long_Form!$D:$D,Data_Long_Form!$C:$C,Data_Pivot_Table!$V6,Data_Long_Form!$A:$A,Data_Pivot_Table!Z$4)=0,"",SUMIFS(Data_Long_Form!$D:$D,Data_Long_Form!$C:$C,Data_Pivot_Table!$V6,Data_Long_Form!$A:$A,Data_Pivot_Table!Z$4))</f>
        <v/>
      </c>
      <c r="AA6">
        <f>+IF(SUMIFS(Data_Long_Form!$D:$D,Data_Long_Form!$C:$C,Data_Pivot_Table!$V6,Data_Long_Form!$A:$A,Data_Pivot_Table!AA$4)=0,"",SUMIFS(Data_Long_Form!$D:$D,Data_Long_Form!$C:$C,Data_Pivot_Table!$V6,Data_Long_Form!$A:$A,Data_Pivot_Table!AA$4))</f>
        <v>305.74909863687174</v>
      </c>
      <c r="AB6">
        <f>+IF(SUMIFS(Data_Long_Form!$D:$D,Data_Long_Form!$C:$C,Data_Pivot_Table!$V6,Data_Long_Form!$A:$A,Data_Pivot_Table!AB$4)=0,"",SUMIFS(Data_Long_Form!$D:$D,Data_Long_Form!$C:$C,Data_Pivot_Table!$V6,Data_Long_Form!$A:$A,Data_Pivot_Table!AB$4))</f>
        <v>248.77632725521678</v>
      </c>
      <c r="AC6">
        <f>+IF(SUMIFS(Data_Long_Form!$D:$D,Data_Long_Form!$C:$C,Data_Pivot_Table!$V6,Data_Long_Form!$A:$A,Data_Pivot_Table!AC$4)=0,"",SUMIFS(Data_Long_Form!$D:$D,Data_Long_Form!$C:$C,Data_Pivot_Table!$V6,Data_Long_Form!$A:$A,Data_Pivot_Table!AC$4))</f>
        <v>285.32748746295408</v>
      </c>
    </row>
    <row r="7" spans="1:29" x14ac:dyDescent="0.2">
      <c r="A7" s="5">
        <v>0.41690972222222222</v>
      </c>
      <c r="B7" s="4"/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6</v>
      </c>
      <c r="J7" s="4"/>
      <c r="K7">
        <v>0.41690972222222222</v>
      </c>
      <c r="L7">
        <v>1</v>
      </c>
      <c r="M7">
        <v>1</v>
      </c>
      <c r="N7">
        <v>1</v>
      </c>
      <c r="P7">
        <v>1</v>
      </c>
      <c r="Q7">
        <v>1</v>
      </c>
      <c r="R7">
        <v>1</v>
      </c>
      <c r="S7">
        <v>6</v>
      </c>
      <c r="V7" s="8">
        <v>0.41690972222222222</v>
      </c>
      <c r="W7">
        <f>+IF(SUMIFS(Data_Long_Form!$D:$D,Data_Long_Form!$C:$C,Data_Pivot_Table!$V7,Data_Long_Form!$A:$A,Data_Pivot_Table!W$4)=0,"",SUMIFS(Data_Long_Form!$D:$D,Data_Long_Form!$C:$C,Data_Pivot_Table!$V7,Data_Long_Form!$A:$A,Data_Pivot_Table!W$4))</f>
        <v>251.86392825060227</v>
      </c>
      <c r="X7">
        <f>+IF(SUMIFS(Data_Long_Form!$D:$D,Data_Long_Form!$C:$C,Data_Pivot_Table!$V7,Data_Long_Form!$A:$A,Data_Pivot_Table!X$4)=0,"",SUMIFS(Data_Long_Form!$D:$D,Data_Long_Form!$C:$C,Data_Pivot_Table!$V7,Data_Long_Form!$A:$A,Data_Pivot_Table!X$4))</f>
        <v>303.68099069393941</v>
      </c>
      <c r="Y7">
        <f>+IF(SUMIFS(Data_Long_Form!$D:$D,Data_Long_Form!$C:$C,Data_Pivot_Table!$V7,Data_Long_Form!$A:$A,Data_Pivot_Table!Y$4)=0,"",SUMIFS(Data_Long_Form!$D:$D,Data_Long_Form!$C:$C,Data_Pivot_Table!$V7,Data_Long_Form!$A:$A,Data_Pivot_Table!Y$4))</f>
        <v>179.07680474826896</v>
      </c>
      <c r="Z7" t="str">
        <f>+IF(SUMIFS(Data_Long_Form!$D:$D,Data_Long_Form!$C:$C,Data_Pivot_Table!$V7,Data_Long_Form!$A:$A,Data_Pivot_Table!Z$4)=0,"",SUMIFS(Data_Long_Form!$D:$D,Data_Long_Form!$C:$C,Data_Pivot_Table!$V7,Data_Long_Form!$A:$A,Data_Pivot_Table!Z$4))</f>
        <v/>
      </c>
      <c r="AA7">
        <f>+IF(SUMIFS(Data_Long_Form!$D:$D,Data_Long_Form!$C:$C,Data_Pivot_Table!$V7,Data_Long_Form!$A:$A,Data_Pivot_Table!AA$4)=0,"",SUMIFS(Data_Long_Form!$D:$D,Data_Long_Form!$C:$C,Data_Pivot_Table!$V7,Data_Long_Form!$A:$A,Data_Pivot_Table!AA$4))</f>
        <v>289.53741516381399</v>
      </c>
      <c r="AB7">
        <f>+IF(SUMIFS(Data_Long_Form!$D:$D,Data_Long_Form!$C:$C,Data_Pivot_Table!$V7,Data_Long_Form!$A:$A,Data_Pivot_Table!AB$4)=0,"",SUMIFS(Data_Long_Form!$D:$D,Data_Long_Form!$C:$C,Data_Pivot_Table!$V7,Data_Long_Form!$A:$A,Data_Pivot_Table!AB$4))</f>
        <v>334.0457516817317</v>
      </c>
      <c r="AC7">
        <f>+IF(SUMIFS(Data_Long_Form!$D:$D,Data_Long_Form!$C:$C,Data_Pivot_Table!$V7,Data_Long_Form!$A:$A,Data_Pivot_Table!AC$4)=0,"",SUMIFS(Data_Long_Form!$D:$D,Data_Long_Form!$C:$C,Data_Pivot_Table!$V7,Data_Long_Form!$A:$A,Data_Pivot_Table!AC$4))</f>
        <v>280.73594888945814</v>
      </c>
    </row>
    <row r="8" spans="1:29" x14ac:dyDescent="0.2">
      <c r="A8" s="5">
        <v>0.41692129629629632</v>
      </c>
      <c r="B8" s="4"/>
      <c r="C8" s="4">
        <v>1</v>
      </c>
      <c r="D8" s="4">
        <v>1</v>
      </c>
      <c r="E8" s="4"/>
      <c r="F8" s="4">
        <v>1</v>
      </c>
      <c r="G8" s="4">
        <v>1</v>
      </c>
      <c r="H8" s="4">
        <v>1</v>
      </c>
      <c r="I8" s="4">
        <v>5</v>
      </c>
      <c r="J8" s="4"/>
      <c r="K8">
        <v>0.41692129629629632</v>
      </c>
      <c r="L8">
        <v>1</v>
      </c>
      <c r="M8">
        <v>1</v>
      </c>
      <c r="N8">
        <v>1</v>
      </c>
      <c r="P8">
        <v>1</v>
      </c>
      <c r="Q8">
        <v>1</v>
      </c>
      <c r="S8">
        <v>5</v>
      </c>
      <c r="V8" s="8">
        <v>0.41692129629629632</v>
      </c>
      <c r="W8">
        <f>+IF(SUMIFS(Data_Long_Form!$D:$D,Data_Long_Form!$C:$C,Data_Pivot_Table!$V8,Data_Long_Form!$A:$A,Data_Pivot_Table!W$4)=0,"",SUMIFS(Data_Long_Form!$D:$D,Data_Long_Form!$C:$C,Data_Pivot_Table!$V8,Data_Long_Form!$A:$A,Data_Pivot_Table!W$4))</f>
        <v>253.14317548011988</v>
      </c>
      <c r="X8">
        <f>+IF(SUMIFS(Data_Long_Form!$D:$D,Data_Long_Form!$C:$C,Data_Pivot_Table!$V8,Data_Long_Form!$A:$A,Data_Pivot_Table!X$4)=0,"",SUMIFS(Data_Long_Form!$D:$D,Data_Long_Form!$C:$C,Data_Pivot_Table!$V8,Data_Long_Form!$A:$A,Data_Pivot_Table!X$4))</f>
        <v>290.70685721125744</v>
      </c>
      <c r="Y8">
        <f>+IF(SUMIFS(Data_Long_Form!$D:$D,Data_Long_Form!$C:$C,Data_Pivot_Table!$V8,Data_Long_Form!$A:$A,Data_Pivot_Table!Y$4)=0,"",SUMIFS(Data_Long_Form!$D:$D,Data_Long_Form!$C:$C,Data_Pivot_Table!$V8,Data_Long_Form!$A:$A,Data_Pivot_Table!Y$4))</f>
        <v>182.93008833770133</v>
      </c>
      <c r="Z8" t="str">
        <f>+IF(SUMIFS(Data_Long_Form!$D:$D,Data_Long_Form!$C:$C,Data_Pivot_Table!$V8,Data_Long_Form!$A:$A,Data_Pivot_Table!Z$4)=0,"",SUMIFS(Data_Long_Form!$D:$D,Data_Long_Form!$C:$C,Data_Pivot_Table!$V8,Data_Long_Form!$A:$A,Data_Pivot_Table!Z$4))</f>
        <v/>
      </c>
      <c r="AA8">
        <f>+IF(SUMIFS(Data_Long_Form!$D:$D,Data_Long_Form!$C:$C,Data_Pivot_Table!$V8,Data_Long_Form!$A:$A,Data_Pivot_Table!AA$4)=0,"",SUMIFS(Data_Long_Form!$D:$D,Data_Long_Form!$C:$C,Data_Pivot_Table!$V8,Data_Long_Form!$A:$A,Data_Pivot_Table!AA$4))</f>
        <v>311.42381867213129</v>
      </c>
      <c r="AB8">
        <f>+IF(SUMIFS(Data_Long_Form!$D:$D,Data_Long_Form!$C:$C,Data_Pivot_Table!$V8,Data_Long_Form!$A:$A,Data_Pivot_Table!AB$4)=0,"",SUMIFS(Data_Long_Form!$D:$D,Data_Long_Form!$C:$C,Data_Pivot_Table!$V8,Data_Long_Form!$A:$A,Data_Pivot_Table!AB$4))</f>
        <v>341.94384081170205</v>
      </c>
      <c r="AC8" t="str">
        <f>+IF(SUMIFS(Data_Long_Form!$D:$D,Data_Long_Form!$C:$C,Data_Pivot_Table!$V8,Data_Long_Form!$A:$A,Data_Pivot_Table!AC$4)=0,"",SUMIFS(Data_Long_Form!$D:$D,Data_Long_Form!$C:$C,Data_Pivot_Table!$V8,Data_Long_Form!$A:$A,Data_Pivot_Table!AC$4))</f>
        <v/>
      </c>
    </row>
    <row r="9" spans="1:29" x14ac:dyDescent="0.2">
      <c r="A9" s="5">
        <v>0.41693287037037036</v>
      </c>
      <c r="B9" s="4"/>
      <c r="C9" s="4">
        <v>1</v>
      </c>
      <c r="D9" s="4"/>
      <c r="E9" s="4">
        <v>1</v>
      </c>
      <c r="F9" s="4">
        <v>1</v>
      </c>
      <c r="G9" s="4">
        <v>1</v>
      </c>
      <c r="H9" s="4">
        <v>1</v>
      </c>
      <c r="I9" s="4">
        <v>5</v>
      </c>
      <c r="J9" s="4"/>
      <c r="K9">
        <v>0.41693287037037036</v>
      </c>
      <c r="L9">
        <v>1</v>
      </c>
      <c r="M9">
        <v>1</v>
      </c>
      <c r="N9">
        <v>1</v>
      </c>
      <c r="P9">
        <v>1</v>
      </c>
      <c r="R9">
        <v>1</v>
      </c>
      <c r="S9">
        <v>5</v>
      </c>
      <c r="V9" s="8">
        <v>0.41693287037037036</v>
      </c>
      <c r="W9">
        <f>+IF(SUMIFS(Data_Long_Form!$D:$D,Data_Long_Form!$C:$C,Data_Pivot_Table!$V9,Data_Long_Form!$A:$A,Data_Pivot_Table!W$4)=0,"",SUMIFS(Data_Long_Form!$D:$D,Data_Long_Form!$C:$C,Data_Pivot_Table!$V9,Data_Long_Form!$A:$A,Data_Pivot_Table!W$4))</f>
        <v>260.66468661069456</v>
      </c>
      <c r="X9">
        <f>+IF(SUMIFS(Data_Long_Form!$D:$D,Data_Long_Form!$C:$C,Data_Pivot_Table!$V9,Data_Long_Form!$A:$A,Data_Pivot_Table!X$4)=0,"",SUMIFS(Data_Long_Form!$D:$D,Data_Long_Form!$C:$C,Data_Pivot_Table!$V9,Data_Long_Form!$A:$A,Data_Pivot_Table!X$4))</f>
        <v>291.35151752670492</v>
      </c>
      <c r="Y9">
        <f>+IF(SUMIFS(Data_Long_Form!$D:$D,Data_Long_Form!$C:$C,Data_Pivot_Table!$V9,Data_Long_Form!$A:$A,Data_Pivot_Table!Y$4)=0,"",SUMIFS(Data_Long_Form!$D:$D,Data_Long_Form!$C:$C,Data_Pivot_Table!$V9,Data_Long_Form!$A:$A,Data_Pivot_Table!Y$4))</f>
        <v>208.9530085772362</v>
      </c>
      <c r="Z9" t="str">
        <f>+IF(SUMIFS(Data_Long_Form!$D:$D,Data_Long_Form!$C:$C,Data_Pivot_Table!$V9,Data_Long_Form!$A:$A,Data_Pivot_Table!Z$4)=0,"",SUMIFS(Data_Long_Form!$D:$D,Data_Long_Form!$C:$C,Data_Pivot_Table!$V9,Data_Long_Form!$A:$A,Data_Pivot_Table!Z$4))</f>
        <v/>
      </c>
      <c r="AA9">
        <f>+IF(SUMIFS(Data_Long_Form!$D:$D,Data_Long_Form!$C:$C,Data_Pivot_Table!$V9,Data_Long_Form!$A:$A,Data_Pivot_Table!AA$4)=0,"",SUMIFS(Data_Long_Form!$D:$D,Data_Long_Form!$C:$C,Data_Pivot_Table!$V9,Data_Long_Form!$A:$A,Data_Pivot_Table!AA$4))</f>
        <v>271.42879822343878</v>
      </c>
      <c r="AB9" t="str">
        <f>+IF(SUMIFS(Data_Long_Form!$D:$D,Data_Long_Form!$C:$C,Data_Pivot_Table!$V9,Data_Long_Form!$A:$A,Data_Pivot_Table!AB$4)=0,"",SUMIFS(Data_Long_Form!$D:$D,Data_Long_Form!$C:$C,Data_Pivot_Table!$V9,Data_Long_Form!$A:$A,Data_Pivot_Table!AB$4))</f>
        <v/>
      </c>
      <c r="AC9">
        <f>+IF(SUMIFS(Data_Long_Form!$D:$D,Data_Long_Form!$C:$C,Data_Pivot_Table!$V9,Data_Long_Form!$A:$A,Data_Pivot_Table!AC$4)=0,"",SUMIFS(Data_Long_Form!$D:$D,Data_Long_Form!$C:$C,Data_Pivot_Table!$V9,Data_Long_Form!$A:$A,Data_Pivot_Table!AC$4))</f>
        <v>254.00268040223878</v>
      </c>
    </row>
    <row r="10" spans="1:29" x14ac:dyDescent="0.2">
      <c r="A10" s="5">
        <v>0.41694444444444445</v>
      </c>
      <c r="B10" s="4"/>
      <c r="C10" s="4">
        <v>1</v>
      </c>
      <c r="D10" s="4">
        <v>1</v>
      </c>
      <c r="E10" s="4"/>
      <c r="F10" s="4"/>
      <c r="G10" s="4">
        <v>1</v>
      </c>
      <c r="H10" s="4">
        <v>1</v>
      </c>
      <c r="I10" s="4">
        <v>4</v>
      </c>
      <c r="J10" s="4"/>
      <c r="K10">
        <v>0.41694444444444445</v>
      </c>
      <c r="M10">
        <v>1</v>
      </c>
      <c r="N10">
        <v>1</v>
      </c>
      <c r="P10">
        <v>1</v>
      </c>
      <c r="Q10">
        <v>1</v>
      </c>
      <c r="S10">
        <v>4</v>
      </c>
      <c r="V10" s="8">
        <v>0.41694444444444445</v>
      </c>
      <c r="W10" t="str">
        <f>+IF(SUMIFS(Data_Long_Form!$D:$D,Data_Long_Form!$C:$C,Data_Pivot_Table!$V10,Data_Long_Form!$A:$A,Data_Pivot_Table!W$4)=0,"",SUMIFS(Data_Long_Form!$D:$D,Data_Long_Form!$C:$C,Data_Pivot_Table!$V10,Data_Long_Form!$A:$A,Data_Pivot_Table!W$4))</f>
        <v/>
      </c>
      <c r="X10">
        <f>+IF(SUMIFS(Data_Long_Form!$D:$D,Data_Long_Form!$C:$C,Data_Pivot_Table!$V10,Data_Long_Form!$A:$A,Data_Pivot_Table!X$4)=0,"",SUMIFS(Data_Long_Form!$D:$D,Data_Long_Form!$C:$C,Data_Pivot_Table!$V10,Data_Long_Form!$A:$A,Data_Pivot_Table!X$4))</f>
        <v>220.19370564815728</v>
      </c>
      <c r="Y10">
        <f>+IF(SUMIFS(Data_Long_Form!$D:$D,Data_Long_Form!$C:$C,Data_Pivot_Table!$V10,Data_Long_Form!$A:$A,Data_Pivot_Table!Y$4)=0,"",SUMIFS(Data_Long_Form!$D:$D,Data_Long_Form!$C:$C,Data_Pivot_Table!$V10,Data_Long_Form!$A:$A,Data_Pivot_Table!Y$4))</f>
        <v>179.56721190718383</v>
      </c>
      <c r="Z10" t="str">
        <f>+IF(SUMIFS(Data_Long_Form!$D:$D,Data_Long_Form!$C:$C,Data_Pivot_Table!$V10,Data_Long_Form!$A:$A,Data_Pivot_Table!Z$4)=0,"",SUMIFS(Data_Long_Form!$D:$D,Data_Long_Form!$C:$C,Data_Pivot_Table!$V10,Data_Long_Form!$A:$A,Data_Pivot_Table!Z$4))</f>
        <v/>
      </c>
      <c r="AA10">
        <f>+IF(SUMIFS(Data_Long_Form!$D:$D,Data_Long_Form!$C:$C,Data_Pivot_Table!$V10,Data_Long_Form!$A:$A,Data_Pivot_Table!AA$4)=0,"",SUMIFS(Data_Long_Form!$D:$D,Data_Long_Form!$C:$C,Data_Pivot_Table!$V10,Data_Long_Form!$A:$A,Data_Pivot_Table!AA$4))</f>
        <v>360.42742241961832</v>
      </c>
      <c r="AB10">
        <f>+IF(SUMIFS(Data_Long_Form!$D:$D,Data_Long_Form!$C:$C,Data_Pivot_Table!$V10,Data_Long_Form!$A:$A,Data_Pivot_Table!AB$4)=0,"",SUMIFS(Data_Long_Form!$D:$D,Data_Long_Form!$C:$C,Data_Pivot_Table!$V10,Data_Long_Form!$A:$A,Data_Pivot_Table!AB$4))</f>
        <v>379.25239979903353</v>
      </c>
      <c r="AC10" t="str">
        <f>+IF(SUMIFS(Data_Long_Form!$D:$D,Data_Long_Form!$C:$C,Data_Pivot_Table!$V10,Data_Long_Form!$A:$A,Data_Pivot_Table!AC$4)=0,"",SUMIFS(Data_Long_Form!$D:$D,Data_Long_Form!$C:$C,Data_Pivot_Table!$V10,Data_Long_Form!$A:$A,Data_Pivot_Table!AC$4))</f>
        <v/>
      </c>
    </row>
    <row r="11" spans="1:29" x14ac:dyDescent="0.2">
      <c r="A11" s="5">
        <v>0.41695601851851855</v>
      </c>
      <c r="B11" s="4"/>
      <c r="C11" s="4">
        <v>1</v>
      </c>
      <c r="D11" s="4">
        <v>1</v>
      </c>
      <c r="E11" s="4"/>
      <c r="F11" s="4"/>
      <c r="G11" s="4"/>
      <c r="H11" s="4">
        <v>1</v>
      </c>
      <c r="I11" s="4">
        <v>3</v>
      </c>
      <c r="J11" s="4"/>
      <c r="K11">
        <v>0.41695601851851855</v>
      </c>
      <c r="N11">
        <v>1</v>
      </c>
      <c r="P11">
        <v>1</v>
      </c>
      <c r="Q11">
        <v>1</v>
      </c>
      <c r="S11">
        <v>3</v>
      </c>
      <c r="V11" s="8">
        <v>0.41695601851851855</v>
      </c>
      <c r="W11" t="str">
        <f>+IF(SUMIFS(Data_Long_Form!$D:$D,Data_Long_Form!$C:$C,Data_Pivot_Table!$V11,Data_Long_Form!$A:$A,Data_Pivot_Table!W$4)=0,"",SUMIFS(Data_Long_Form!$D:$D,Data_Long_Form!$C:$C,Data_Pivot_Table!$V11,Data_Long_Form!$A:$A,Data_Pivot_Table!W$4))</f>
        <v/>
      </c>
      <c r="X11" t="str">
        <f>+IF(SUMIFS(Data_Long_Form!$D:$D,Data_Long_Form!$C:$C,Data_Pivot_Table!$V11,Data_Long_Form!$A:$A,Data_Pivot_Table!X$4)=0,"",SUMIFS(Data_Long_Form!$D:$D,Data_Long_Form!$C:$C,Data_Pivot_Table!$V11,Data_Long_Form!$A:$A,Data_Pivot_Table!X$4))</f>
        <v/>
      </c>
      <c r="Y11">
        <f>+IF(SUMIFS(Data_Long_Form!$D:$D,Data_Long_Form!$C:$C,Data_Pivot_Table!$V11,Data_Long_Form!$A:$A,Data_Pivot_Table!Y$4)=0,"",SUMIFS(Data_Long_Form!$D:$D,Data_Long_Form!$C:$C,Data_Pivot_Table!$V11,Data_Long_Form!$A:$A,Data_Pivot_Table!Y$4))</f>
        <v>196.62578707702912</v>
      </c>
      <c r="Z11" t="str">
        <f>+IF(SUMIFS(Data_Long_Form!$D:$D,Data_Long_Form!$C:$C,Data_Pivot_Table!$V11,Data_Long_Form!$A:$A,Data_Pivot_Table!Z$4)=0,"",SUMIFS(Data_Long_Form!$D:$D,Data_Long_Form!$C:$C,Data_Pivot_Table!$V11,Data_Long_Form!$A:$A,Data_Pivot_Table!Z$4))</f>
        <v/>
      </c>
      <c r="AA11">
        <f>+IF(SUMIFS(Data_Long_Form!$D:$D,Data_Long_Form!$C:$C,Data_Pivot_Table!$V11,Data_Long_Form!$A:$A,Data_Pivot_Table!AA$4)=0,"",SUMIFS(Data_Long_Form!$D:$D,Data_Long_Form!$C:$C,Data_Pivot_Table!$V11,Data_Long_Form!$A:$A,Data_Pivot_Table!AA$4))</f>
        <v>367.716249337536</v>
      </c>
      <c r="AB11">
        <f>+IF(SUMIFS(Data_Long_Form!$D:$D,Data_Long_Form!$C:$C,Data_Pivot_Table!$V11,Data_Long_Form!$A:$A,Data_Pivot_Table!AB$4)=0,"",SUMIFS(Data_Long_Form!$D:$D,Data_Long_Form!$C:$C,Data_Pivot_Table!$V11,Data_Long_Form!$A:$A,Data_Pivot_Table!AB$4))</f>
        <v>387.85152438062124</v>
      </c>
      <c r="AC11" t="str">
        <f>+IF(SUMIFS(Data_Long_Form!$D:$D,Data_Long_Form!$C:$C,Data_Pivot_Table!$V11,Data_Long_Form!$A:$A,Data_Pivot_Table!AC$4)=0,"",SUMIFS(Data_Long_Form!$D:$D,Data_Long_Form!$C:$C,Data_Pivot_Table!$V11,Data_Long_Form!$A:$A,Data_Pivot_Table!AC$4))</f>
        <v/>
      </c>
    </row>
    <row r="12" spans="1:29" x14ac:dyDescent="0.2">
      <c r="A12" s="5">
        <v>0.41696759259259258</v>
      </c>
      <c r="B12" s="4"/>
      <c r="C12" s="4">
        <v>1</v>
      </c>
      <c r="D12" s="4">
        <v>1</v>
      </c>
      <c r="E12" s="4"/>
      <c r="F12" s="4"/>
      <c r="G12" s="4">
        <v>1</v>
      </c>
      <c r="H12" s="4"/>
      <c r="I12" s="4">
        <v>3</v>
      </c>
      <c r="J12" s="4"/>
      <c r="K12">
        <v>0.41696759259259258</v>
      </c>
      <c r="M12">
        <v>1</v>
      </c>
      <c r="P12">
        <v>1</v>
      </c>
      <c r="Q12">
        <v>1</v>
      </c>
      <c r="S12">
        <v>3</v>
      </c>
      <c r="V12" s="8">
        <v>0.41696759259259258</v>
      </c>
      <c r="W12" t="str">
        <f>+IF(SUMIFS(Data_Long_Form!$D:$D,Data_Long_Form!$C:$C,Data_Pivot_Table!$V12,Data_Long_Form!$A:$A,Data_Pivot_Table!W$4)=0,"",SUMIFS(Data_Long_Form!$D:$D,Data_Long_Form!$C:$C,Data_Pivot_Table!$V12,Data_Long_Form!$A:$A,Data_Pivot_Table!W$4))</f>
        <v/>
      </c>
      <c r="X12">
        <f>+IF(SUMIFS(Data_Long_Form!$D:$D,Data_Long_Form!$C:$C,Data_Pivot_Table!$V12,Data_Long_Form!$A:$A,Data_Pivot_Table!X$4)=0,"",SUMIFS(Data_Long_Form!$D:$D,Data_Long_Form!$C:$C,Data_Pivot_Table!$V12,Data_Long_Form!$A:$A,Data_Pivot_Table!X$4))</f>
        <v>261.44114423984803</v>
      </c>
      <c r="Y12" t="str">
        <f>+IF(SUMIFS(Data_Long_Form!$D:$D,Data_Long_Form!$C:$C,Data_Pivot_Table!$V12,Data_Long_Form!$A:$A,Data_Pivot_Table!Y$4)=0,"",SUMIFS(Data_Long_Form!$D:$D,Data_Long_Form!$C:$C,Data_Pivot_Table!$V12,Data_Long_Form!$A:$A,Data_Pivot_Table!Y$4))</f>
        <v/>
      </c>
      <c r="Z12" t="str">
        <f>+IF(SUMIFS(Data_Long_Form!$D:$D,Data_Long_Form!$C:$C,Data_Pivot_Table!$V12,Data_Long_Form!$A:$A,Data_Pivot_Table!Z$4)=0,"",SUMIFS(Data_Long_Form!$D:$D,Data_Long_Form!$C:$C,Data_Pivot_Table!$V12,Data_Long_Form!$A:$A,Data_Pivot_Table!Z$4))</f>
        <v/>
      </c>
      <c r="AA12">
        <f>+IF(SUMIFS(Data_Long_Form!$D:$D,Data_Long_Form!$C:$C,Data_Pivot_Table!$V12,Data_Long_Form!$A:$A,Data_Pivot_Table!AA$4)=0,"",SUMIFS(Data_Long_Form!$D:$D,Data_Long_Form!$C:$C,Data_Pivot_Table!$V12,Data_Long_Form!$A:$A,Data_Pivot_Table!AA$4))</f>
        <v>359.78061490013113</v>
      </c>
      <c r="AB12">
        <f>+IF(SUMIFS(Data_Long_Form!$D:$D,Data_Long_Form!$C:$C,Data_Pivot_Table!$V12,Data_Long_Form!$A:$A,Data_Pivot_Table!AB$4)=0,"",SUMIFS(Data_Long_Form!$D:$D,Data_Long_Form!$C:$C,Data_Pivot_Table!$V12,Data_Long_Form!$A:$A,Data_Pivot_Table!AB$4))</f>
        <v>333.16675289825537</v>
      </c>
      <c r="AC12" t="str">
        <f>+IF(SUMIFS(Data_Long_Form!$D:$D,Data_Long_Form!$C:$C,Data_Pivot_Table!$V12,Data_Long_Form!$A:$A,Data_Pivot_Table!AC$4)=0,"",SUMIFS(Data_Long_Form!$D:$D,Data_Long_Form!$C:$C,Data_Pivot_Table!$V12,Data_Long_Form!$A:$A,Data_Pivot_Table!AC$4))</f>
        <v/>
      </c>
    </row>
    <row r="13" spans="1:29" x14ac:dyDescent="0.2">
      <c r="A13" s="5">
        <v>0.41699074074074072</v>
      </c>
      <c r="B13" s="4"/>
      <c r="C13" s="4">
        <v>1</v>
      </c>
      <c r="D13" s="4"/>
      <c r="E13" s="4"/>
      <c r="F13" s="4">
        <v>1</v>
      </c>
      <c r="G13" s="4">
        <v>1</v>
      </c>
      <c r="H13" s="4"/>
      <c r="I13" s="4">
        <v>3</v>
      </c>
      <c r="J13" s="4"/>
      <c r="K13">
        <v>0.41699074074074072</v>
      </c>
      <c r="L13">
        <v>1</v>
      </c>
      <c r="M13">
        <v>1</v>
      </c>
      <c r="P13">
        <v>1</v>
      </c>
      <c r="S13">
        <v>3</v>
      </c>
      <c r="V13" s="8">
        <v>0.41699074074074072</v>
      </c>
      <c r="W13">
        <f>+IF(SUMIFS(Data_Long_Form!$D:$D,Data_Long_Form!$C:$C,Data_Pivot_Table!$V13,Data_Long_Form!$A:$A,Data_Pivot_Table!W$4)=0,"",SUMIFS(Data_Long_Form!$D:$D,Data_Long_Form!$C:$C,Data_Pivot_Table!$V13,Data_Long_Form!$A:$A,Data_Pivot_Table!W$4))</f>
        <v>193.4981196288098</v>
      </c>
      <c r="X13">
        <f>+IF(SUMIFS(Data_Long_Form!$D:$D,Data_Long_Form!$C:$C,Data_Pivot_Table!$V13,Data_Long_Form!$A:$A,Data_Pivot_Table!X$4)=0,"",SUMIFS(Data_Long_Form!$D:$D,Data_Long_Form!$C:$C,Data_Pivot_Table!$V13,Data_Long_Form!$A:$A,Data_Pivot_Table!X$4))</f>
        <v>262.10714258030873</v>
      </c>
      <c r="Y13" t="str">
        <f>+IF(SUMIFS(Data_Long_Form!$D:$D,Data_Long_Form!$C:$C,Data_Pivot_Table!$V13,Data_Long_Form!$A:$A,Data_Pivot_Table!Y$4)=0,"",SUMIFS(Data_Long_Form!$D:$D,Data_Long_Form!$C:$C,Data_Pivot_Table!$V13,Data_Long_Form!$A:$A,Data_Pivot_Table!Y$4))</f>
        <v/>
      </c>
      <c r="Z13" t="str">
        <f>+IF(SUMIFS(Data_Long_Form!$D:$D,Data_Long_Form!$C:$C,Data_Pivot_Table!$V13,Data_Long_Form!$A:$A,Data_Pivot_Table!Z$4)=0,"",SUMIFS(Data_Long_Form!$D:$D,Data_Long_Form!$C:$C,Data_Pivot_Table!$V13,Data_Long_Form!$A:$A,Data_Pivot_Table!Z$4))</f>
        <v/>
      </c>
      <c r="AA13">
        <f>+IF(SUMIFS(Data_Long_Form!$D:$D,Data_Long_Form!$C:$C,Data_Pivot_Table!$V13,Data_Long_Form!$A:$A,Data_Pivot_Table!AA$4)=0,"",SUMIFS(Data_Long_Form!$D:$D,Data_Long_Form!$C:$C,Data_Pivot_Table!$V13,Data_Long_Form!$A:$A,Data_Pivot_Table!AA$4))</f>
        <v>311.97372738071408</v>
      </c>
      <c r="AB13" t="str">
        <f>+IF(SUMIFS(Data_Long_Form!$D:$D,Data_Long_Form!$C:$C,Data_Pivot_Table!$V13,Data_Long_Form!$A:$A,Data_Pivot_Table!AB$4)=0,"",SUMIFS(Data_Long_Form!$D:$D,Data_Long_Form!$C:$C,Data_Pivot_Table!$V13,Data_Long_Form!$A:$A,Data_Pivot_Table!AB$4))</f>
        <v/>
      </c>
      <c r="AC13" t="str">
        <f>+IF(SUMIFS(Data_Long_Form!$D:$D,Data_Long_Form!$C:$C,Data_Pivot_Table!$V13,Data_Long_Form!$A:$A,Data_Pivot_Table!AC$4)=0,"",SUMIFS(Data_Long_Form!$D:$D,Data_Long_Form!$C:$C,Data_Pivot_Table!$V13,Data_Long_Form!$A:$A,Data_Pivot_Table!AC$4))</f>
        <v/>
      </c>
    </row>
    <row r="14" spans="1:29" x14ac:dyDescent="0.2">
      <c r="A14" s="5">
        <v>0.41700231481481481</v>
      </c>
      <c r="B14" s="4"/>
      <c r="C14" s="4">
        <v>1</v>
      </c>
      <c r="D14" s="4"/>
      <c r="E14" s="4"/>
      <c r="F14" s="4"/>
      <c r="G14" s="4">
        <v>1</v>
      </c>
      <c r="H14" s="4"/>
      <c r="I14" s="4">
        <v>2</v>
      </c>
      <c r="J14" s="4"/>
      <c r="K14">
        <v>0.41700231481481481</v>
      </c>
      <c r="M14">
        <v>1</v>
      </c>
      <c r="P14">
        <v>1</v>
      </c>
      <c r="S14">
        <v>2</v>
      </c>
      <c r="V14" s="8">
        <v>0.41700231481481481</v>
      </c>
      <c r="W14" t="str">
        <f>+IF(SUMIFS(Data_Long_Form!$D:$D,Data_Long_Form!$C:$C,Data_Pivot_Table!$V14,Data_Long_Form!$A:$A,Data_Pivot_Table!W$4)=0,"",SUMIFS(Data_Long_Form!$D:$D,Data_Long_Form!$C:$C,Data_Pivot_Table!$V14,Data_Long_Form!$A:$A,Data_Pivot_Table!W$4))</f>
        <v/>
      </c>
      <c r="X14">
        <f>+IF(SUMIFS(Data_Long_Form!$D:$D,Data_Long_Form!$C:$C,Data_Pivot_Table!$V14,Data_Long_Form!$A:$A,Data_Pivot_Table!X$4)=0,"",SUMIFS(Data_Long_Form!$D:$D,Data_Long_Form!$C:$C,Data_Pivot_Table!$V14,Data_Long_Form!$A:$A,Data_Pivot_Table!X$4))</f>
        <v>284.73311341413518</v>
      </c>
      <c r="Y14" t="str">
        <f>+IF(SUMIFS(Data_Long_Form!$D:$D,Data_Long_Form!$C:$C,Data_Pivot_Table!$V14,Data_Long_Form!$A:$A,Data_Pivot_Table!Y$4)=0,"",SUMIFS(Data_Long_Form!$D:$D,Data_Long_Form!$C:$C,Data_Pivot_Table!$V14,Data_Long_Form!$A:$A,Data_Pivot_Table!Y$4))</f>
        <v/>
      </c>
      <c r="Z14" t="str">
        <f>+IF(SUMIFS(Data_Long_Form!$D:$D,Data_Long_Form!$C:$C,Data_Pivot_Table!$V14,Data_Long_Form!$A:$A,Data_Pivot_Table!Z$4)=0,"",SUMIFS(Data_Long_Form!$D:$D,Data_Long_Form!$C:$C,Data_Pivot_Table!$V14,Data_Long_Form!$A:$A,Data_Pivot_Table!Z$4))</f>
        <v/>
      </c>
      <c r="AA14">
        <f>+IF(SUMIFS(Data_Long_Form!$D:$D,Data_Long_Form!$C:$C,Data_Pivot_Table!$V14,Data_Long_Form!$A:$A,Data_Pivot_Table!AA$4)=0,"",SUMIFS(Data_Long_Form!$D:$D,Data_Long_Form!$C:$C,Data_Pivot_Table!$V14,Data_Long_Form!$A:$A,Data_Pivot_Table!AA$4))</f>
        <v>306.98999272933918</v>
      </c>
      <c r="AB14" t="str">
        <f>+IF(SUMIFS(Data_Long_Form!$D:$D,Data_Long_Form!$C:$C,Data_Pivot_Table!$V14,Data_Long_Form!$A:$A,Data_Pivot_Table!AB$4)=0,"",SUMIFS(Data_Long_Form!$D:$D,Data_Long_Form!$C:$C,Data_Pivot_Table!$V14,Data_Long_Form!$A:$A,Data_Pivot_Table!AB$4))</f>
        <v/>
      </c>
      <c r="AC14" t="str">
        <f>+IF(SUMIFS(Data_Long_Form!$D:$D,Data_Long_Form!$C:$C,Data_Pivot_Table!$V14,Data_Long_Form!$A:$A,Data_Pivot_Table!AC$4)=0,"",SUMIFS(Data_Long_Form!$D:$D,Data_Long_Form!$C:$C,Data_Pivot_Table!$V14,Data_Long_Form!$A:$A,Data_Pivot_Table!AC$4))</f>
        <v/>
      </c>
    </row>
    <row r="15" spans="1:29" x14ac:dyDescent="0.2">
      <c r="A15" s="5">
        <v>0.41702546296296295</v>
      </c>
      <c r="B15" s="4"/>
      <c r="C15" s="4">
        <v>1</v>
      </c>
      <c r="D15" s="4">
        <v>1</v>
      </c>
      <c r="E15" s="4"/>
      <c r="F15" s="4">
        <v>1</v>
      </c>
      <c r="G15" s="4">
        <v>1</v>
      </c>
      <c r="H15" s="4"/>
      <c r="I15" s="4">
        <v>4</v>
      </c>
      <c r="J15" s="4"/>
      <c r="K15">
        <v>0.41702546296296295</v>
      </c>
      <c r="L15">
        <v>1</v>
      </c>
      <c r="M15">
        <v>1</v>
      </c>
      <c r="P15">
        <v>1</v>
      </c>
      <c r="Q15">
        <v>1</v>
      </c>
      <c r="S15">
        <v>4</v>
      </c>
      <c r="V15" s="8">
        <v>0.41702546296296295</v>
      </c>
      <c r="W15">
        <f>+IF(SUMIFS(Data_Long_Form!$D:$D,Data_Long_Form!$C:$C,Data_Pivot_Table!$V15,Data_Long_Form!$A:$A,Data_Pivot_Table!W$4)=0,"",SUMIFS(Data_Long_Form!$D:$D,Data_Long_Form!$C:$C,Data_Pivot_Table!$V15,Data_Long_Form!$A:$A,Data_Pivot_Table!W$4))</f>
        <v>257.20163195026731</v>
      </c>
      <c r="X15">
        <f>+IF(SUMIFS(Data_Long_Form!$D:$D,Data_Long_Form!$C:$C,Data_Pivot_Table!$V15,Data_Long_Form!$A:$A,Data_Pivot_Table!X$4)=0,"",SUMIFS(Data_Long_Form!$D:$D,Data_Long_Form!$C:$C,Data_Pivot_Table!$V15,Data_Long_Form!$A:$A,Data_Pivot_Table!X$4))</f>
        <v>277.36393404105115</v>
      </c>
      <c r="Y15" t="str">
        <f>+IF(SUMIFS(Data_Long_Form!$D:$D,Data_Long_Form!$C:$C,Data_Pivot_Table!$V15,Data_Long_Form!$A:$A,Data_Pivot_Table!Y$4)=0,"",SUMIFS(Data_Long_Form!$D:$D,Data_Long_Form!$C:$C,Data_Pivot_Table!$V15,Data_Long_Form!$A:$A,Data_Pivot_Table!Y$4))</f>
        <v/>
      </c>
      <c r="Z15" t="str">
        <f>+IF(SUMIFS(Data_Long_Form!$D:$D,Data_Long_Form!$C:$C,Data_Pivot_Table!$V15,Data_Long_Form!$A:$A,Data_Pivot_Table!Z$4)=0,"",SUMIFS(Data_Long_Form!$D:$D,Data_Long_Form!$C:$C,Data_Pivot_Table!$V15,Data_Long_Form!$A:$A,Data_Pivot_Table!Z$4))</f>
        <v/>
      </c>
      <c r="AA15">
        <f>+IF(SUMIFS(Data_Long_Form!$D:$D,Data_Long_Form!$C:$C,Data_Pivot_Table!$V15,Data_Long_Form!$A:$A,Data_Pivot_Table!AA$4)=0,"",SUMIFS(Data_Long_Form!$D:$D,Data_Long_Form!$C:$C,Data_Pivot_Table!$V15,Data_Long_Form!$A:$A,Data_Pivot_Table!AA$4))</f>
        <v>304.34934945284635</v>
      </c>
      <c r="AB15">
        <f>+IF(SUMIFS(Data_Long_Form!$D:$D,Data_Long_Form!$C:$C,Data_Pivot_Table!$V15,Data_Long_Form!$A:$A,Data_Pivot_Table!AB$4)=0,"",SUMIFS(Data_Long_Form!$D:$D,Data_Long_Form!$C:$C,Data_Pivot_Table!$V15,Data_Long_Form!$A:$A,Data_Pivot_Table!AB$4))</f>
        <v>354.36516979381554</v>
      </c>
      <c r="AC15" t="str">
        <f>+IF(SUMIFS(Data_Long_Form!$D:$D,Data_Long_Form!$C:$C,Data_Pivot_Table!$V15,Data_Long_Form!$A:$A,Data_Pivot_Table!AC$4)=0,"",SUMIFS(Data_Long_Form!$D:$D,Data_Long_Form!$C:$C,Data_Pivot_Table!$V15,Data_Long_Form!$A:$A,Data_Pivot_Table!AC$4))</f>
        <v/>
      </c>
    </row>
    <row r="16" spans="1:29" x14ac:dyDescent="0.2">
      <c r="A16" s="5">
        <v>0.41976851851851854</v>
      </c>
      <c r="B16" s="4">
        <v>1</v>
      </c>
      <c r="C16" s="4">
        <v>1</v>
      </c>
      <c r="D16" s="4"/>
      <c r="E16" s="4">
        <v>1</v>
      </c>
      <c r="F16" s="4">
        <v>1</v>
      </c>
      <c r="G16" s="4">
        <v>1</v>
      </c>
      <c r="H16" s="4">
        <v>1</v>
      </c>
      <c r="I16" s="4">
        <v>6</v>
      </c>
      <c r="J16" s="4"/>
      <c r="K16">
        <v>0.41976851851851854</v>
      </c>
      <c r="L16">
        <v>1</v>
      </c>
      <c r="M16">
        <v>1</v>
      </c>
      <c r="N16">
        <v>1</v>
      </c>
      <c r="O16">
        <v>1</v>
      </c>
      <c r="P16">
        <v>1</v>
      </c>
      <c r="R16">
        <v>1</v>
      </c>
      <c r="S16">
        <v>6</v>
      </c>
      <c r="V16" s="8">
        <v>0.41976851851851854</v>
      </c>
      <c r="W16">
        <f>+IF(SUMIFS(Data_Long_Form!$D:$D,Data_Long_Form!$C:$C,Data_Pivot_Table!$V16,Data_Long_Form!$A:$A,Data_Pivot_Table!W$4)=0,"",SUMIFS(Data_Long_Form!$D:$D,Data_Long_Form!$C:$C,Data_Pivot_Table!$V16,Data_Long_Form!$A:$A,Data_Pivot_Table!W$4))</f>
        <v>333.18790088581318</v>
      </c>
      <c r="X16">
        <f>+IF(SUMIFS(Data_Long_Form!$D:$D,Data_Long_Form!$C:$C,Data_Pivot_Table!$V16,Data_Long_Form!$A:$A,Data_Pivot_Table!X$4)=0,"",SUMIFS(Data_Long_Form!$D:$D,Data_Long_Form!$C:$C,Data_Pivot_Table!$V16,Data_Long_Form!$A:$A,Data_Pivot_Table!X$4))</f>
        <v>345.63747822771984</v>
      </c>
      <c r="Y16">
        <f>+IF(SUMIFS(Data_Long_Form!$D:$D,Data_Long_Form!$C:$C,Data_Pivot_Table!$V16,Data_Long_Form!$A:$A,Data_Pivot_Table!Y$4)=0,"",SUMIFS(Data_Long_Form!$D:$D,Data_Long_Form!$C:$C,Data_Pivot_Table!$V16,Data_Long_Form!$A:$A,Data_Pivot_Table!Y$4))</f>
        <v>254.85073786715813</v>
      </c>
      <c r="Z16">
        <f>+IF(SUMIFS(Data_Long_Form!$D:$D,Data_Long_Form!$C:$C,Data_Pivot_Table!$V16,Data_Long_Form!$A:$A,Data_Pivot_Table!Z$4)=0,"",SUMIFS(Data_Long_Form!$D:$D,Data_Long_Form!$C:$C,Data_Pivot_Table!$V16,Data_Long_Form!$A:$A,Data_Pivot_Table!Z$4))</f>
        <v>331.54912351445961</v>
      </c>
      <c r="AA16">
        <f>+IF(SUMIFS(Data_Long_Form!$D:$D,Data_Long_Form!$C:$C,Data_Pivot_Table!$V16,Data_Long_Form!$A:$A,Data_Pivot_Table!AA$4)=0,"",SUMIFS(Data_Long_Form!$D:$D,Data_Long_Form!$C:$C,Data_Pivot_Table!$V16,Data_Long_Form!$A:$A,Data_Pivot_Table!AA$4))</f>
        <v>340.81965626417661</v>
      </c>
      <c r="AB16" t="str">
        <f>+IF(SUMIFS(Data_Long_Form!$D:$D,Data_Long_Form!$C:$C,Data_Pivot_Table!$V16,Data_Long_Form!$A:$A,Data_Pivot_Table!AB$4)=0,"",SUMIFS(Data_Long_Form!$D:$D,Data_Long_Form!$C:$C,Data_Pivot_Table!$V16,Data_Long_Form!$A:$A,Data_Pivot_Table!AB$4))</f>
        <v/>
      </c>
      <c r="AC16">
        <f>+IF(SUMIFS(Data_Long_Form!$D:$D,Data_Long_Form!$C:$C,Data_Pivot_Table!$V16,Data_Long_Form!$A:$A,Data_Pivot_Table!AC$4)=0,"",SUMIFS(Data_Long_Form!$D:$D,Data_Long_Form!$C:$C,Data_Pivot_Table!$V16,Data_Long_Form!$A:$A,Data_Pivot_Table!AC$4))</f>
        <v>429.62566848628552</v>
      </c>
    </row>
    <row r="17" spans="1:29" x14ac:dyDescent="0.2">
      <c r="A17" s="5">
        <v>0.41978009259259258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7</v>
      </c>
      <c r="J17" s="4"/>
      <c r="K17">
        <v>0.41978009259259258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7</v>
      </c>
      <c r="V17" s="8">
        <v>0.41978009259259258</v>
      </c>
      <c r="W17">
        <f>+IF(SUMIFS(Data_Long_Form!$D:$D,Data_Long_Form!$C:$C,Data_Pivot_Table!$V17,Data_Long_Form!$A:$A,Data_Pivot_Table!W$4)=0,"",SUMIFS(Data_Long_Form!$D:$D,Data_Long_Form!$C:$C,Data_Pivot_Table!$V17,Data_Long_Form!$A:$A,Data_Pivot_Table!W$4))</f>
        <v>289.87583779811206</v>
      </c>
      <c r="X17">
        <f>+IF(SUMIFS(Data_Long_Form!$D:$D,Data_Long_Form!$C:$C,Data_Pivot_Table!$V17,Data_Long_Form!$A:$A,Data_Pivot_Table!X$4)=0,"",SUMIFS(Data_Long_Form!$D:$D,Data_Long_Form!$C:$C,Data_Pivot_Table!$V17,Data_Long_Form!$A:$A,Data_Pivot_Table!X$4))</f>
        <v>334.88741573837103</v>
      </c>
      <c r="Y17">
        <f>+IF(SUMIFS(Data_Long_Form!$D:$D,Data_Long_Form!$C:$C,Data_Pivot_Table!$V17,Data_Long_Form!$A:$A,Data_Pivot_Table!Y$4)=0,"",SUMIFS(Data_Long_Form!$D:$D,Data_Long_Form!$C:$C,Data_Pivot_Table!$V17,Data_Long_Form!$A:$A,Data_Pivot_Table!Y$4))</f>
        <v>200.7353138448145</v>
      </c>
      <c r="Z17">
        <f>+IF(SUMIFS(Data_Long_Form!$D:$D,Data_Long_Form!$C:$C,Data_Pivot_Table!$V17,Data_Long_Form!$A:$A,Data_Pivot_Table!Z$4)=0,"",SUMIFS(Data_Long_Form!$D:$D,Data_Long_Form!$C:$C,Data_Pivot_Table!$V17,Data_Long_Form!$A:$A,Data_Pivot_Table!Z$4))</f>
        <v>303.05222591665665</v>
      </c>
      <c r="AA17">
        <f>+IF(SUMIFS(Data_Long_Form!$D:$D,Data_Long_Form!$C:$C,Data_Pivot_Table!$V17,Data_Long_Form!$A:$A,Data_Pivot_Table!AA$4)=0,"",SUMIFS(Data_Long_Form!$D:$D,Data_Long_Form!$C:$C,Data_Pivot_Table!$V17,Data_Long_Form!$A:$A,Data_Pivot_Table!AA$4))</f>
        <v>332.8458807045854</v>
      </c>
      <c r="AB17">
        <f>+IF(SUMIFS(Data_Long_Form!$D:$D,Data_Long_Form!$C:$C,Data_Pivot_Table!$V17,Data_Long_Form!$A:$A,Data_Pivot_Table!AB$4)=0,"",SUMIFS(Data_Long_Form!$D:$D,Data_Long_Form!$C:$C,Data_Pivot_Table!$V17,Data_Long_Form!$A:$A,Data_Pivot_Table!AB$4))</f>
        <v>430.11620716533321</v>
      </c>
      <c r="AC17">
        <f>+IF(SUMIFS(Data_Long_Form!$D:$D,Data_Long_Form!$C:$C,Data_Pivot_Table!$V17,Data_Long_Form!$A:$A,Data_Pivot_Table!AC$4)=0,"",SUMIFS(Data_Long_Form!$D:$D,Data_Long_Form!$C:$C,Data_Pivot_Table!$V17,Data_Long_Form!$A:$A,Data_Pivot_Table!AC$4))</f>
        <v>427.62023086220768</v>
      </c>
    </row>
    <row r="18" spans="1:29" x14ac:dyDescent="0.2">
      <c r="A18" s="5">
        <v>0.41979166666666667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7</v>
      </c>
      <c r="J18" s="4"/>
      <c r="K18">
        <v>0.41979166666666667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7</v>
      </c>
      <c r="V18" s="8">
        <v>0.41979166666666667</v>
      </c>
      <c r="W18">
        <f>+IF(SUMIFS(Data_Long_Form!$D:$D,Data_Long_Form!$C:$C,Data_Pivot_Table!$V18,Data_Long_Form!$A:$A,Data_Pivot_Table!W$4)=0,"",SUMIFS(Data_Long_Form!$D:$D,Data_Long_Form!$C:$C,Data_Pivot_Table!$V18,Data_Long_Form!$A:$A,Data_Pivot_Table!W$4))</f>
        <v>299.12922452697393</v>
      </c>
      <c r="X18">
        <f>+IF(SUMIFS(Data_Long_Form!$D:$D,Data_Long_Form!$C:$C,Data_Pivot_Table!$V18,Data_Long_Form!$A:$A,Data_Pivot_Table!X$4)=0,"",SUMIFS(Data_Long_Form!$D:$D,Data_Long_Form!$C:$C,Data_Pivot_Table!$V18,Data_Long_Form!$A:$A,Data_Pivot_Table!X$4))</f>
        <v>335.92809532984398</v>
      </c>
      <c r="Y18">
        <f>+IF(SUMIFS(Data_Long_Form!$D:$D,Data_Long_Form!$C:$C,Data_Pivot_Table!$V18,Data_Long_Form!$A:$A,Data_Pivot_Table!Y$4)=0,"",SUMIFS(Data_Long_Form!$D:$D,Data_Long_Form!$C:$C,Data_Pivot_Table!$V18,Data_Long_Form!$A:$A,Data_Pivot_Table!Y$4))</f>
        <v>198.78138292295978</v>
      </c>
      <c r="Z18">
        <f>+IF(SUMIFS(Data_Long_Form!$D:$D,Data_Long_Form!$C:$C,Data_Pivot_Table!$V18,Data_Long_Form!$A:$A,Data_Pivot_Table!Z$4)=0,"",SUMIFS(Data_Long_Form!$D:$D,Data_Long_Form!$C:$C,Data_Pivot_Table!$V18,Data_Long_Form!$A:$A,Data_Pivot_Table!Z$4))</f>
        <v>294.75707877931961</v>
      </c>
      <c r="AA18">
        <f>+IF(SUMIFS(Data_Long_Form!$D:$D,Data_Long_Form!$C:$C,Data_Pivot_Table!$V18,Data_Long_Form!$A:$A,Data_Pivot_Table!AA$4)=0,"",SUMIFS(Data_Long_Form!$D:$D,Data_Long_Form!$C:$C,Data_Pivot_Table!$V18,Data_Long_Form!$A:$A,Data_Pivot_Table!AA$4))</f>
        <v>348.44476697351371</v>
      </c>
      <c r="AB18">
        <f>+IF(SUMIFS(Data_Long_Form!$D:$D,Data_Long_Form!$C:$C,Data_Pivot_Table!$V18,Data_Long_Form!$A:$A,Data_Pivot_Table!AB$4)=0,"",SUMIFS(Data_Long_Form!$D:$D,Data_Long_Form!$C:$C,Data_Pivot_Table!$V18,Data_Long_Form!$A:$A,Data_Pivot_Table!AB$4))</f>
        <v>433.50857379019476</v>
      </c>
      <c r="AC18">
        <f>+IF(SUMIFS(Data_Long_Form!$D:$D,Data_Long_Form!$C:$C,Data_Pivot_Table!$V18,Data_Long_Form!$A:$A,Data_Pivot_Table!AC$4)=0,"",SUMIFS(Data_Long_Form!$D:$D,Data_Long_Form!$C:$C,Data_Pivot_Table!$V18,Data_Long_Form!$A:$A,Data_Pivot_Table!AC$4))</f>
        <v>422.91164762777402</v>
      </c>
    </row>
    <row r="19" spans="1:29" x14ac:dyDescent="0.2">
      <c r="A19" s="5">
        <v>0.41980324074074077</v>
      </c>
      <c r="B19" s="4"/>
      <c r="C19" s="4"/>
      <c r="D19" s="4"/>
      <c r="E19" s="4">
        <v>1</v>
      </c>
      <c r="F19" s="4"/>
      <c r="G19" s="4">
        <v>1</v>
      </c>
      <c r="H19" s="4"/>
      <c r="I19" s="4">
        <v>2</v>
      </c>
      <c r="J19" s="4"/>
      <c r="K19">
        <v>0.41980324074074077</v>
      </c>
      <c r="M19">
        <v>1</v>
      </c>
      <c r="R19">
        <v>1</v>
      </c>
      <c r="S19">
        <v>2</v>
      </c>
      <c r="V19" s="8">
        <v>0.41980324074074077</v>
      </c>
      <c r="W19" t="str">
        <f>+IF(SUMIFS(Data_Long_Form!$D:$D,Data_Long_Form!$C:$C,Data_Pivot_Table!$V19,Data_Long_Form!$A:$A,Data_Pivot_Table!W$4)=0,"",SUMIFS(Data_Long_Form!$D:$D,Data_Long_Form!$C:$C,Data_Pivot_Table!$V19,Data_Long_Form!$A:$A,Data_Pivot_Table!W$4))</f>
        <v/>
      </c>
      <c r="X19">
        <f>+IF(SUMIFS(Data_Long_Form!$D:$D,Data_Long_Form!$C:$C,Data_Pivot_Table!$V19,Data_Long_Form!$A:$A,Data_Pivot_Table!X$4)=0,"",SUMIFS(Data_Long_Form!$D:$D,Data_Long_Form!$C:$C,Data_Pivot_Table!$V19,Data_Long_Form!$A:$A,Data_Pivot_Table!X$4))</f>
        <v>340.99882867054663</v>
      </c>
      <c r="Y19" t="str">
        <f>+IF(SUMIFS(Data_Long_Form!$D:$D,Data_Long_Form!$C:$C,Data_Pivot_Table!$V19,Data_Long_Form!$A:$A,Data_Pivot_Table!Y$4)=0,"",SUMIFS(Data_Long_Form!$D:$D,Data_Long_Form!$C:$C,Data_Pivot_Table!$V19,Data_Long_Form!$A:$A,Data_Pivot_Table!Y$4))</f>
        <v/>
      </c>
      <c r="Z19" t="str">
        <f>+IF(SUMIFS(Data_Long_Form!$D:$D,Data_Long_Form!$C:$C,Data_Pivot_Table!$V19,Data_Long_Form!$A:$A,Data_Pivot_Table!Z$4)=0,"",SUMIFS(Data_Long_Form!$D:$D,Data_Long_Form!$C:$C,Data_Pivot_Table!$V19,Data_Long_Form!$A:$A,Data_Pivot_Table!Z$4))</f>
        <v/>
      </c>
      <c r="AA19" t="str">
        <f>+IF(SUMIFS(Data_Long_Form!$D:$D,Data_Long_Form!$C:$C,Data_Pivot_Table!$V19,Data_Long_Form!$A:$A,Data_Pivot_Table!AA$4)=0,"",SUMIFS(Data_Long_Form!$D:$D,Data_Long_Form!$C:$C,Data_Pivot_Table!$V19,Data_Long_Form!$A:$A,Data_Pivot_Table!AA$4))</f>
        <v/>
      </c>
      <c r="AB19" t="str">
        <f>+IF(SUMIFS(Data_Long_Form!$D:$D,Data_Long_Form!$C:$C,Data_Pivot_Table!$V19,Data_Long_Form!$A:$A,Data_Pivot_Table!AB$4)=0,"",SUMIFS(Data_Long_Form!$D:$D,Data_Long_Form!$C:$C,Data_Pivot_Table!$V19,Data_Long_Form!$A:$A,Data_Pivot_Table!AB$4))</f>
        <v/>
      </c>
      <c r="AC19">
        <f>+IF(SUMIFS(Data_Long_Form!$D:$D,Data_Long_Form!$C:$C,Data_Pivot_Table!$V19,Data_Long_Form!$A:$A,Data_Pivot_Table!AC$4)=0,"",SUMIFS(Data_Long_Form!$D:$D,Data_Long_Form!$C:$C,Data_Pivot_Table!$V19,Data_Long_Form!$A:$A,Data_Pivot_Table!AC$4))</f>
        <v>405.15187849916742</v>
      </c>
    </row>
    <row r="20" spans="1:29" x14ac:dyDescent="0.2">
      <c r="A20" s="5">
        <v>0.41981481481481481</v>
      </c>
      <c r="B20" s="4"/>
      <c r="C20" s="4">
        <v>1</v>
      </c>
      <c r="D20" s="4">
        <v>1</v>
      </c>
      <c r="E20" s="4">
        <v>1</v>
      </c>
      <c r="F20" s="4"/>
      <c r="G20" s="4">
        <v>1</v>
      </c>
      <c r="H20" s="4"/>
      <c r="I20" s="4">
        <v>4</v>
      </c>
      <c r="J20" s="4"/>
      <c r="K20">
        <v>0.41981481481481481</v>
      </c>
      <c r="M20">
        <v>1</v>
      </c>
      <c r="P20">
        <v>1</v>
      </c>
      <c r="Q20">
        <v>1</v>
      </c>
      <c r="R20">
        <v>1</v>
      </c>
      <c r="S20">
        <v>4</v>
      </c>
      <c r="V20" s="8">
        <v>0.41981481481481481</v>
      </c>
      <c r="W20" t="str">
        <f>+IF(SUMIFS(Data_Long_Form!$D:$D,Data_Long_Form!$C:$C,Data_Pivot_Table!$V20,Data_Long_Form!$A:$A,Data_Pivot_Table!W$4)=0,"",SUMIFS(Data_Long_Form!$D:$D,Data_Long_Form!$C:$C,Data_Pivot_Table!$V20,Data_Long_Form!$A:$A,Data_Pivot_Table!W$4))</f>
        <v/>
      </c>
      <c r="X20">
        <f>+IF(SUMIFS(Data_Long_Form!$D:$D,Data_Long_Form!$C:$C,Data_Pivot_Table!$V20,Data_Long_Form!$A:$A,Data_Pivot_Table!X$4)=0,"",SUMIFS(Data_Long_Form!$D:$D,Data_Long_Form!$C:$C,Data_Pivot_Table!$V20,Data_Long_Form!$A:$A,Data_Pivot_Table!X$4))</f>
        <v>334.22650570806508</v>
      </c>
      <c r="Y20" t="str">
        <f>+IF(SUMIFS(Data_Long_Form!$D:$D,Data_Long_Form!$C:$C,Data_Pivot_Table!$V20,Data_Long_Form!$A:$A,Data_Pivot_Table!Y$4)=0,"",SUMIFS(Data_Long_Form!$D:$D,Data_Long_Form!$C:$C,Data_Pivot_Table!$V20,Data_Long_Form!$A:$A,Data_Pivot_Table!Y$4))</f>
        <v/>
      </c>
      <c r="Z20" t="str">
        <f>+IF(SUMIFS(Data_Long_Form!$D:$D,Data_Long_Form!$C:$C,Data_Pivot_Table!$V20,Data_Long_Form!$A:$A,Data_Pivot_Table!Z$4)=0,"",SUMIFS(Data_Long_Form!$D:$D,Data_Long_Form!$C:$C,Data_Pivot_Table!$V20,Data_Long_Form!$A:$A,Data_Pivot_Table!Z$4))</f>
        <v/>
      </c>
      <c r="AA20">
        <f>+IF(SUMIFS(Data_Long_Form!$D:$D,Data_Long_Form!$C:$C,Data_Pivot_Table!$V20,Data_Long_Form!$A:$A,Data_Pivot_Table!AA$4)=0,"",SUMIFS(Data_Long_Form!$D:$D,Data_Long_Form!$C:$C,Data_Pivot_Table!$V20,Data_Long_Form!$A:$A,Data_Pivot_Table!AA$4))</f>
        <v>309.62906830717492</v>
      </c>
      <c r="AB20">
        <f>+IF(SUMIFS(Data_Long_Form!$D:$D,Data_Long_Form!$C:$C,Data_Pivot_Table!$V20,Data_Long_Form!$A:$A,Data_Pivot_Table!AB$4)=0,"",SUMIFS(Data_Long_Form!$D:$D,Data_Long_Form!$C:$C,Data_Pivot_Table!$V20,Data_Long_Form!$A:$A,Data_Pivot_Table!AB$4))</f>
        <v>442.31007049950369</v>
      </c>
      <c r="AC20">
        <f>+IF(SUMIFS(Data_Long_Form!$D:$D,Data_Long_Form!$C:$C,Data_Pivot_Table!$V20,Data_Long_Form!$A:$A,Data_Pivot_Table!AC$4)=0,"",SUMIFS(Data_Long_Form!$D:$D,Data_Long_Form!$C:$C,Data_Pivot_Table!$V20,Data_Long_Form!$A:$A,Data_Pivot_Table!AC$4))</f>
        <v>386.0245221968197</v>
      </c>
    </row>
    <row r="21" spans="1:29" x14ac:dyDescent="0.2">
      <c r="A21" s="5">
        <v>0.41983796296296294</v>
      </c>
      <c r="B21" s="4"/>
      <c r="C21" s="4"/>
      <c r="D21" s="4"/>
      <c r="E21" s="4"/>
      <c r="F21" s="4"/>
      <c r="G21" s="4">
        <v>1</v>
      </c>
      <c r="H21" s="4"/>
      <c r="I21" s="4">
        <v>1</v>
      </c>
      <c r="J21" s="4"/>
      <c r="K21">
        <v>0.41983796296296294</v>
      </c>
      <c r="M21">
        <v>1</v>
      </c>
      <c r="S21">
        <v>1</v>
      </c>
      <c r="V21" s="8">
        <v>0.41983796296296294</v>
      </c>
      <c r="W21" t="str">
        <f>+IF(SUMIFS(Data_Long_Form!$D:$D,Data_Long_Form!$C:$C,Data_Pivot_Table!$V21,Data_Long_Form!$A:$A,Data_Pivot_Table!W$4)=0,"",SUMIFS(Data_Long_Form!$D:$D,Data_Long_Form!$C:$C,Data_Pivot_Table!$V21,Data_Long_Form!$A:$A,Data_Pivot_Table!W$4))</f>
        <v/>
      </c>
      <c r="X21">
        <f>+IF(SUMIFS(Data_Long_Form!$D:$D,Data_Long_Form!$C:$C,Data_Pivot_Table!$V21,Data_Long_Form!$A:$A,Data_Pivot_Table!X$4)=0,"",SUMIFS(Data_Long_Form!$D:$D,Data_Long_Form!$C:$C,Data_Pivot_Table!$V21,Data_Long_Form!$A:$A,Data_Pivot_Table!X$4))</f>
        <v>333.11060717985038</v>
      </c>
      <c r="Y21" t="str">
        <f>+IF(SUMIFS(Data_Long_Form!$D:$D,Data_Long_Form!$C:$C,Data_Pivot_Table!$V21,Data_Long_Form!$A:$A,Data_Pivot_Table!Y$4)=0,"",SUMIFS(Data_Long_Form!$D:$D,Data_Long_Form!$C:$C,Data_Pivot_Table!$V21,Data_Long_Form!$A:$A,Data_Pivot_Table!Y$4))</f>
        <v/>
      </c>
      <c r="Z21" t="str">
        <f>+IF(SUMIFS(Data_Long_Form!$D:$D,Data_Long_Form!$C:$C,Data_Pivot_Table!$V21,Data_Long_Form!$A:$A,Data_Pivot_Table!Z$4)=0,"",SUMIFS(Data_Long_Form!$D:$D,Data_Long_Form!$C:$C,Data_Pivot_Table!$V21,Data_Long_Form!$A:$A,Data_Pivot_Table!Z$4))</f>
        <v/>
      </c>
      <c r="AA21" t="str">
        <f>+IF(SUMIFS(Data_Long_Form!$D:$D,Data_Long_Form!$C:$C,Data_Pivot_Table!$V21,Data_Long_Form!$A:$A,Data_Pivot_Table!AA$4)=0,"",SUMIFS(Data_Long_Form!$D:$D,Data_Long_Form!$C:$C,Data_Pivot_Table!$V21,Data_Long_Form!$A:$A,Data_Pivot_Table!AA$4))</f>
        <v/>
      </c>
      <c r="AB21" t="str">
        <f>+IF(SUMIFS(Data_Long_Form!$D:$D,Data_Long_Form!$C:$C,Data_Pivot_Table!$V21,Data_Long_Form!$A:$A,Data_Pivot_Table!AB$4)=0,"",SUMIFS(Data_Long_Form!$D:$D,Data_Long_Form!$C:$C,Data_Pivot_Table!$V21,Data_Long_Form!$A:$A,Data_Pivot_Table!AB$4))</f>
        <v/>
      </c>
      <c r="AC21" t="str">
        <f>+IF(SUMIFS(Data_Long_Form!$D:$D,Data_Long_Form!$C:$C,Data_Pivot_Table!$V21,Data_Long_Form!$A:$A,Data_Pivot_Table!AC$4)=0,"",SUMIFS(Data_Long_Form!$D:$D,Data_Long_Form!$C:$C,Data_Pivot_Table!$V21,Data_Long_Form!$A:$A,Data_Pivot_Table!AC$4))</f>
        <v/>
      </c>
    </row>
    <row r="22" spans="1:29" x14ac:dyDescent="0.2">
      <c r="A22" s="5">
        <v>0.41984953703703703</v>
      </c>
      <c r="B22" s="4"/>
      <c r="C22" s="4"/>
      <c r="D22" s="4"/>
      <c r="E22" s="4"/>
      <c r="F22" s="4"/>
      <c r="G22" s="4">
        <v>1</v>
      </c>
      <c r="H22" s="4"/>
      <c r="I22" s="4">
        <v>1</v>
      </c>
      <c r="J22" s="4"/>
      <c r="K22">
        <v>0.41984953703703703</v>
      </c>
      <c r="M22">
        <v>1</v>
      </c>
      <c r="S22">
        <v>1</v>
      </c>
      <c r="V22" s="8">
        <v>0.41984953703703703</v>
      </c>
      <c r="W22" t="str">
        <f>+IF(SUMIFS(Data_Long_Form!$D:$D,Data_Long_Form!$C:$C,Data_Pivot_Table!$V22,Data_Long_Form!$A:$A,Data_Pivot_Table!W$4)=0,"",SUMIFS(Data_Long_Form!$D:$D,Data_Long_Form!$C:$C,Data_Pivot_Table!$V22,Data_Long_Form!$A:$A,Data_Pivot_Table!W$4))</f>
        <v/>
      </c>
      <c r="X22">
        <f>+IF(SUMIFS(Data_Long_Form!$D:$D,Data_Long_Form!$C:$C,Data_Pivot_Table!$V22,Data_Long_Form!$A:$A,Data_Pivot_Table!X$4)=0,"",SUMIFS(Data_Long_Form!$D:$D,Data_Long_Form!$C:$C,Data_Pivot_Table!$V22,Data_Long_Form!$A:$A,Data_Pivot_Table!X$4))</f>
        <v>342.64677753398979</v>
      </c>
      <c r="Y22" t="str">
        <f>+IF(SUMIFS(Data_Long_Form!$D:$D,Data_Long_Form!$C:$C,Data_Pivot_Table!$V22,Data_Long_Form!$A:$A,Data_Pivot_Table!Y$4)=0,"",SUMIFS(Data_Long_Form!$D:$D,Data_Long_Form!$C:$C,Data_Pivot_Table!$V22,Data_Long_Form!$A:$A,Data_Pivot_Table!Y$4))</f>
        <v/>
      </c>
      <c r="Z22" t="str">
        <f>+IF(SUMIFS(Data_Long_Form!$D:$D,Data_Long_Form!$C:$C,Data_Pivot_Table!$V22,Data_Long_Form!$A:$A,Data_Pivot_Table!Z$4)=0,"",SUMIFS(Data_Long_Form!$D:$D,Data_Long_Form!$C:$C,Data_Pivot_Table!$V22,Data_Long_Form!$A:$A,Data_Pivot_Table!Z$4))</f>
        <v/>
      </c>
      <c r="AA22" t="str">
        <f>+IF(SUMIFS(Data_Long_Form!$D:$D,Data_Long_Form!$C:$C,Data_Pivot_Table!$V22,Data_Long_Form!$A:$A,Data_Pivot_Table!AA$4)=0,"",SUMIFS(Data_Long_Form!$D:$D,Data_Long_Form!$C:$C,Data_Pivot_Table!$V22,Data_Long_Form!$A:$A,Data_Pivot_Table!AA$4))</f>
        <v/>
      </c>
      <c r="AB22" t="str">
        <f>+IF(SUMIFS(Data_Long_Form!$D:$D,Data_Long_Form!$C:$C,Data_Pivot_Table!$V22,Data_Long_Form!$A:$A,Data_Pivot_Table!AB$4)=0,"",SUMIFS(Data_Long_Form!$D:$D,Data_Long_Form!$C:$C,Data_Pivot_Table!$V22,Data_Long_Form!$A:$A,Data_Pivot_Table!AB$4))</f>
        <v/>
      </c>
      <c r="AC22" t="str">
        <f>+IF(SUMIFS(Data_Long_Form!$D:$D,Data_Long_Form!$C:$C,Data_Pivot_Table!$V22,Data_Long_Form!$A:$A,Data_Pivot_Table!AC$4)=0,"",SUMIFS(Data_Long_Form!$D:$D,Data_Long_Form!$C:$C,Data_Pivot_Table!$V22,Data_Long_Form!$A:$A,Data_Pivot_Table!AC$4))</f>
        <v/>
      </c>
    </row>
    <row r="23" spans="1:29" x14ac:dyDescent="0.2">
      <c r="A23" s="5">
        <v>0.41986111111111113</v>
      </c>
      <c r="B23" s="4">
        <v>1</v>
      </c>
      <c r="C23" s="4"/>
      <c r="D23" s="4"/>
      <c r="E23" s="4"/>
      <c r="F23" s="4">
        <v>1</v>
      </c>
      <c r="G23" s="4">
        <v>1</v>
      </c>
      <c r="H23" s="4">
        <v>1</v>
      </c>
      <c r="I23" s="4">
        <v>4</v>
      </c>
      <c r="J23" s="4"/>
      <c r="K23">
        <v>0.41986111111111113</v>
      </c>
      <c r="L23">
        <v>1</v>
      </c>
      <c r="M23">
        <v>1</v>
      </c>
      <c r="N23">
        <v>1</v>
      </c>
      <c r="O23">
        <v>1</v>
      </c>
      <c r="S23">
        <v>4</v>
      </c>
      <c r="V23" s="8">
        <v>0.41986111111111113</v>
      </c>
      <c r="W23">
        <f>+IF(SUMIFS(Data_Long_Form!$D:$D,Data_Long_Form!$C:$C,Data_Pivot_Table!$V23,Data_Long_Form!$A:$A,Data_Pivot_Table!W$4)=0,"",SUMIFS(Data_Long_Form!$D:$D,Data_Long_Form!$C:$C,Data_Pivot_Table!$V23,Data_Long_Form!$A:$A,Data_Pivot_Table!W$4))</f>
        <v>330.76576865742447</v>
      </c>
      <c r="X23">
        <f>+IF(SUMIFS(Data_Long_Form!$D:$D,Data_Long_Form!$C:$C,Data_Pivot_Table!$V23,Data_Long_Form!$A:$A,Data_Pivot_Table!X$4)=0,"",SUMIFS(Data_Long_Form!$D:$D,Data_Long_Form!$C:$C,Data_Pivot_Table!$V23,Data_Long_Form!$A:$A,Data_Pivot_Table!X$4))</f>
        <v>331.53420692040731</v>
      </c>
      <c r="Y23">
        <f>+IF(SUMIFS(Data_Long_Form!$D:$D,Data_Long_Form!$C:$C,Data_Pivot_Table!$V23,Data_Long_Form!$A:$A,Data_Pivot_Table!Y$4)=0,"",SUMIFS(Data_Long_Form!$D:$D,Data_Long_Form!$C:$C,Data_Pivot_Table!$V23,Data_Long_Form!$A:$A,Data_Pivot_Table!Y$4))</f>
        <v>218.72703843614295</v>
      </c>
      <c r="Z23">
        <f>+IF(SUMIFS(Data_Long_Form!$D:$D,Data_Long_Form!$C:$C,Data_Pivot_Table!$V23,Data_Long_Form!$A:$A,Data_Pivot_Table!Z$4)=0,"",SUMIFS(Data_Long_Form!$D:$D,Data_Long_Form!$C:$C,Data_Pivot_Table!$V23,Data_Long_Form!$A:$A,Data_Pivot_Table!Z$4))</f>
        <v>326.07128995914445</v>
      </c>
      <c r="AA23" t="str">
        <f>+IF(SUMIFS(Data_Long_Form!$D:$D,Data_Long_Form!$C:$C,Data_Pivot_Table!$V23,Data_Long_Form!$A:$A,Data_Pivot_Table!AA$4)=0,"",SUMIFS(Data_Long_Form!$D:$D,Data_Long_Form!$C:$C,Data_Pivot_Table!$V23,Data_Long_Form!$A:$A,Data_Pivot_Table!AA$4))</f>
        <v/>
      </c>
      <c r="AB23" t="str">
        <f>+IF(SUMIFS(Data_Long_Form!$D:$D,Data_Long_Form!$C:$C,Data_Pivot_Table!$V23,Data_Long_Form!$A:$A,Data_Pivot_Table!AB$4)=0,"",SUMIFS(Data_Long_Form!$D:$D,Data_Long_Form!$C:$C,Data_Pivot_Table!$V23,Data_Long_Form!$A:$A,Data_Pivot_Table!AB$4))</f>
        <v/>
      </c>
      <c r="AC23" t="str">
        <f>+IF(SUMIFS(Data_Long_Form!$D:$D,Data_Long_Form!$C:$C,Data_Pivot_Table!$V23,Data_Long_Form!$A:$A,Data_Pivot_Table!AC$4)=0,"",SUMIFS(Data_Long_Form!$D:$D,Data_Long_Form!$C:$C,Data_Pivot_Table!$V23,Data_Long_Form!$A:$A,Data_Pivot_Table!AC$4))</f>
        <v/>
      </c>
    </row>
    <row r="24" spans="1:29" x14ac:dyDescent="0.2">
      <c r="A24" s="5">
        <v>0.41987268518518517</v>
      </c>
      <c r="B24" s="4">
        <v>1</v>
      </c>
      <c r="C24" s="4"/>
      <c r="D24" s="4"/>
      <c r="E24" s="4">
        <v>1</v>
      </c>
      <c r="F24" s="4">
        <v>1</v>
      </c>
      <c r="G24" s="4">
        <v>1</v>
      </c>
      <c r="H24" s="4">
        <v>1</v>
      </c>
      <c r="I24" s="4">
        <v>5</v>
      </c>
      <c r="J24" s="4"/>
      <c r="K24">
        <v>0.41987268518518517</v>
      </c>
      <c r="L24">
        <v>1</v>
      </c>
      <c r="M24">
        <v>1</v>
      </c>
      <c r="N24">
        <v>1</v>
      </c>
      <c r="O24">
        <v>1</v>
      </c>
      <c r="R24">
        <v>1</v>
      </c>
      <c r="S24">
        <v>5</v>
      </c>
      <c r="V24" s="8">
        <v>0.41987268518518517</v>
      </c>
      <c r="W24">
        <f>+IF(SUMIFS(Data_Long_Form!$D:$D,Data_Long_Form!$C:$C,Data_Pivot_Table!$V24,Data_Long_Form!$A:$A,Data_Pivot_Table!W$4)=0,"",SUMIFS(Data_Long_Form!$D:$D,Data_Long_Form!$C:$C,Data_Pivot_Table!$V24,Data_Long_Form!$A:$A,Data_Pivot_Table!W$4))</f>
        <v>324.15881062988456</v>
      </c>
      <c r="X24">
        <f>+IF(SUMIFS(Data_Long_Form!$D:$D,Data_Long_Form!$C:$C,Data_Pivot_Table!$V24,Data_Long_Form!$A:$A,Data_Pivot_Table!X$4)=0,"",SUMIFS(Data_Long_Form!$D:$D,Data_Long_Form!$C:$C,Data_Pivot_Table!$V24,Data_Long_Form!$A:$A,Data_Pivot_Table!X$4))</f>
        <v>344.88562469684013</v>
      </c>
      <c r="Y24">
        <f>+IF(SUMIFS(Data_Long_Form!$D:$D,Data_Long_Form!$C:$C,Data_Pivot_Table!$V24,Data_Long_Form!$A:$A,Data_Pivot_Table!Y$4)=0,"",SUMIFS(Data_Long_Form!$D:$D,Data_Long_Form!$C:$C,Data_Pivot_Table!$V24,Data_Long_Form!$A:$A,Data_Pivot_Table!Y$4))</f>
        <v>216.10759060254932</v>
      </c>
      <c r="Z24">
        <f>+IF(SUMIFS(Data_Long_Form!$D:$D,Data_Long_Form!$C:$C,Data_Pivot_Table!$V24,Data_Long_Form!$A:$A,Data_Pivot_Table!Z$4)=0,"",SUMIFS(Data_Long_Form!$D:$D,Data_Long_Form!$C:$C,Data_Pivot_Table!$V24,Data_Long_Form!$A:$A,Data_Pivot_Table!Z$4))</f>
        <v>330.36943778179824</v>
      </c>
      <c r="AA24" t="str">
        <f>+IF(SUMIFS(Data_Long_Form!$D:$D,Data_Long_Form!$C:$C,Data_Pivot_Table!$V24,Data_Long_Form!$A:$A,Data_Pivot_Table!AA$4)=0,"",SUMIFS(Data_Long_Form!$D:$D,Data_Long_Form!$C:$C,Data_Pivot_Table!$V24,Data_Long_Form!$A:$A,Data_Pivot_Table!AA$4))</f>
        <v/>
      </c>
      <c r="AB24" t="str">
        <f>+IF(SUMIFS(Data_Long_Form!$D:$D,Data_Long_Form!$C:$C,Data_Pivot_Table!$V24,Data_Long_Form!$A:$A,Data_Pivot_Table!AB$4)=0,"",SUMIFS(Data_Long_Form!$D:$D,Data_Long_Form!$C:$C,Data_Pivot_Table!$V24,Data_Long_Form!$A:$A,Data_Pivot_Table!AB$4))</f>
        <v/>
      </c>
      <c r="AC24">
        <f>+IF(SUMIFS(Data_Long_Form!$D:$D,Data_Long_Form!$C:$C,Data_Pivot_Table!$V24,Data_Long_Form!$A:$A,Data_Pivot_Table!AC$4)=0,"",SUMIFS(Data_Long_Form!$D:$D,Data_Long_Form!$C:$C,Data_Pivot_Table!$V24,Data_Long_Form!$A:$A,Data_Pivot_Table!AC$4))</f>
        <v>334.77241117719876</v>
      </c>
    </row>
    <row r="25" spans="1:29" x14ac:dyDescent="0.2">
      <c r="A25" s="5">
        <v>0.41989583333333336</v>
      </c>
      <c r="B25" s="4"/>
      <c r="C25" s="4"/>
      <c r="D25" s="4"/>
      <c r="E25" s="4">
        <v>1</v>
      </c>
      <c r="F25" s="4">
        <v>1</v>
      </c>
      <c r="G25" s="4">
        <v>1</v>
      </c>
      <c r="H25" s="4"/>
      <c r="I25" s="4">
        <v>3</v>
      </c>
      <c r="J25" s="4"/>
      <c r="K25">
        <v>0.41989583333333336</v>
      </c>
      <c r="L25">
        <v>1</v>
      </c>
      <c r="M25">
        <v>1</v>
      </c>
      <c r="R25">
        <v>1</v>
      </c>
      <c r="S25">
        <v>3</v>
      </c>
      <c r="V25" s="8">
        <v>0.41989583333333336</v>
      </c>
      <c r="W25">
        <f>+IF(SUMIFS(Data_Long_Form!$D:$D,Data_Long_Form!$C:$C,Data_Pivot_Table!$V25,Data_Long_Form!$A:$A,Data_Pivot_Table!W$4)=0,"",SUMIFS(Data_Long_Form!$D:$D,Data_Long_Form!$C:$C,Data_Pivot_Table!$V25,Data_Long_Form!$A:$A,Data_Pivot_Table!W$4))</f>
        <v>324.43145990632769</v>
      </c>
      <c r="X25">
        <f>+IF(SUMIFS(Data_Long_Form!$D:$D,Data_Long_Form!$C:$C,Data_Pivot_Table!$V25,Data_Long_Form!$A:$A,Data_Pivot_Table!X$4)=0,"",SUMIFS(Data_Long_Form!$D:$D,Data_Long_Form!$C:$C,Data_Pivot_Table!$V25,Data_Long_Form!$A:$A,Data_Pivot_Table!X$4))</f>
        <v>322.50880531107464</v>
      </c>
      <c r="Y25" t="str">
        <f>+IF(SUMIFS(Data_Long_Form!$D:$D,Data_Long_Form!$C:$C,Data_Pivot_Table!$V25,Data_Long_Form!$A:$A,Data_Pivot_Table!Y$4)=0,"",SUMIFS(Data_Long_Form!$D:$D,Data_Long_Form!$C:$C,Data_Pivot_Table!$V25,Data_Long_Form!$A:$A,Data_Pivot_Table!Y$4))</f>
        <v/>
      </c>
      <c r="Z25" t="str">
        <f>+IF(SUMIFS(Data_Long_Form!$D:$D,Data_Long_Form!$C:$C,Data_Pivot_Table!$V25,Data_Long_Form!$A:$A,Data_Pivot_Table!Z$4)=0,"",SUMIFS(Data_Long_Form!$D:$D,Data_Long_Form!$C:$C,Data_Pivot_Table!$V25,Data_Long_Form!$A:$A,Data_Pivot_Table!Z$4))</f>
        <v/>
      </c>
      <c r="AA25" t="str">
        <f>+IF(SUMIFS(Data_Long_Form!$D:$D,Data_Long_Form!$C:$C,Data_Pivot_Table!$V25,Data_Long_Form!$A:$A,Data_Pivot_Table!AA$4)=0,"",SUMIFS(Data_Long_Form!$D:$D,Data_Long_Form!$C:$C,Data_Pivot_Table!$V25,Data_Long_Form!$A:$A,Data_Pivot_Table!AA$4))</f>
        <v/>
      </c>
      <c r="AB25" t="str">
        <f>+IF(SUMIFS(Data_Long_Form!$D:$D,Data_Long_Form!$C:$C,Data_Pivot_Table!$V25,Data_Long_Form!$A:$A,Data_Pivot_Table!AB$4)=0,"",SUMIFS(Data_Long_Form!$D:$D,Data_Long_Form!$C:$C,Data_Pivot_Table!$V25,Data_Long_Form!$A:$A,Data_Pivot_Table!AB$4))</f>
        <v/>
      </c>
      <c r="AC25">
        <f>+IF(SUMIFS(Data_Long_Form!$D:$D,Data_Long_Form!$C:$C,Data_Pivot_Table!$V25,Data_Long_Form!$A:$A,Data_Pivot_Table!AC$4)=0,"",SUMIFS(Data_Long_Form!$D:$D,Data_Long_Form!$C:$C,Data_Pivot_Table!$V25,Data_Long_Form!$A:$A,Data_Pivot_Table!AC$4))</f>
        <v>363.08533322613289</v>
      </c>
    </row>
    <row r="26" spans="1:29" x14ac:dyDescent="0.2">
      <c r="A26" s="5">
        <v>0.4199074074074074</v>
      </c>
      <c r="B26" s="4">
        <v>1</v>
      </c>
      <c r="C26" s="4">
        <v>1</v>
      </c>
      <c r="D26" s="4"/>
      <c r="E26" s="4">
        <v>1</v>
      </c>
      <c r="F26" s="4">
        <v>1</v>
      </c>
      <c r="G26" s="4">
        <v>1</v>
      </c>
      <c r="H26" s="4">
        <v>1</v>
      </c>
      <c r="I26" s="4">
        <v>6</v>
      </c>
      <c r="J26" s="4"/>
      <c r="K26">
        <v>0.4199074074074074</v>
      </c>
      <c r="L26">
        <v>1</v>
      </c>
      <c r="M26">
        <v>1</v>
      </c>
      <c r="N26">
        <v>1</v>
      </c>
      <c r="O26">
        <v>1</v>
      </c>
      <c r="P26">
        <v>1</v>
      </c>
      <c r="R26">
        <v>1</v>
      </c>
      <c r="S26">
        <v>6</v>
      </c>
      <c r="V26" s="8">
        <v>0.4199074074074074</v>
      </c>
      <c r="W26">
        <f>+IF(SUMIFS(Data_Long_Form!$D:$D,Data_Long_Form!$C:$C,Data_Pivot_Table!$V26,Data_Long_Form!$A:$A,Data_Pivot_Table!W$4)=0,"",SUMIFS(Data_Long_Form!$D:$D,Data_Long_Form!$C:$C,Data_Pivot_Table!$V26,Data_Long_Form!$A:$A,Data_Pivot_Table!W$4))</f>
        <v>325.08345954186177</v>
      </c>
      <c r="X26">
        <f>+IF(SUMIFS(Data_Long_Form!$D:$D,Data_Long_Form!$C:$C,Data_Pivot_Table!$V26,Data_Long_Form!$A:$A,Data_Pivot_Table!X$4)=0,"",SUMIFS(Data_Long_Form!$D:$D,Data_Long_Form!$C:$C,Data_Pivot_Table!$V26,Data_Long_Form!$A:$A,Data_Pivot_Table!X$4))</f>
        <v>322.37366593976776</v>
      </c>
      <c r="Y26">
        <f>+IF(SUMIFS(Data_Long_Form!$D:$D,Data_Long_Form!$C:$C,Data_Pivot_Table!$V26,Data_Long_Form!$A:$A,Data_Pivot_Table!Y$4)=0,"",SUMIFS(Data_Long_Form!$D:$D,Data_Long_Form!$C:$C,Data_Pivot_Table!$V26,Data_Long_Form!$A:$A,Data_Pivot_Table!Y$4))</f>
        <v>202.91859773397724</v>
      </c>
      <c r="Z26">
        <f>+IF(SUMIFS(Data_Long_Form!$D:$D,Data_Long_Form!$C:$C,Data_Pivot_Table!$V26,Data_Long_Form!$A:$A,Data_Pivot_Table!Z$4)=0,"",SUMIFS(Data_Long_Form!$D:$D,Data_Long_Form!$C:$C,Data_Pivot_Table!$V26,Data_Long_Form!$A:$A,Data_Pivot_Table!Z$4))</f>
        <v>329.18737187030962</v>
      </c>
      <c r="AA26">
        <f>+IF(SUMIFS(Data_Long_Form!$D:$D,Data_Long_Form!$C:$C,Data_Pivot_Table!$V26,Data_Long_Form!$A:$A,Data_Pivot_Table!AA$4)=0,"",SUMIFS(Data_Long_Form!$D:$D,Data_Long_Form!$C:$C,Data_Pivot_Table!$V26,Data_Long_Form!$A:$A,Data_Pivot_Table!AA$4))</f>
        <v>307.47509233497362</v>
      </c>
      <c r="AB26" t="str">
        <f>+IF(SUMIFS(Data_Long_Form!$D:$D,Data_Long_Form!$C:$C,Data_Pivot_Table!$V26,Data_Long_Form!$A:$A,Data_Pivot_Table!AB$4)=0,"",SUMIFS(Data_Long_Form!$D:$D,Data_Long_Form!$C:$C,Data_Pivot_Table!$V26,Data_Long_Form!$A:$A,Data_Pivot_Table!AB$4))</f>
        <v/>
      </c>
      <c r="AC26">
        <f>+IF(SUMIFS(Data_Long_Form!$D:$D,Data_Long_Form!$C:$C,Data_Pivot_Table!$V26,Data_Long_Form!$A:$A,Data_Pivot_Table!AC$4)=0,"",SUMIFS(Data_Long_Form!$D:$D,Data_Long_Form!$C:$C,Data_Pivot_Table!$V26,Data_Long_Form!$A:$A,Data_Pivot_Table!AC$4))</f>
        <v>347.39086404230039</v>
      </c>
    </row>
    <row r="27" spans="1:29" x14ac:dyDescent="0.2">
      <c r="A27" s="5">
        <v>0.41991898148148149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7</v>
      </c>
      <c r="J27" s="4"/>
      <c r="K27">
        <v>0.41991898148148149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7</v>
      </c>
      <c r="V27" s="8">
        <v>0.41991898148148149</v>
      </c>
      <c r="W27">
        <f>+IF(SUMIFS(Data_Long_Form!$D:$D,Data_Long_Form!$C:$C,Data_Pivot_Table!$V27,Data_Long_Form!$A:$A,Data_Pivot_Table!W$4)=0,"",SUMIFS(Data_Long_Form!$D:$D,Data_Long_Form!$C:$C,Data_Pivot_Table!$V27,Data_Long_Form!$A:$A,Data_Pivot_Table!W$4))</f>
        <v>318.89795314864574</v>
      </c>
      <c r="X27">
        <f>+IF(SUMIFS(Data_Long_Form!$D:$D,Data_Long_Form!$C:$C,Data_Pivot_Table!$V27,Data_Long_Form!$A:$A,Data_Pivot_Table!X$4)=0,"",SUMIFS(Data_Long_Form!$D:$D,Data_Long_Form!$C:$C,Data_Pivot_Table!$V27,Data_Long_Form!$A:$A,Data_Pivot_Table!X$4))</f>
        <v>322.17975585895067</v>
      </c>
      <c r="Y27">
        <f>+IF(SUMIFS(Data_Long_Form!$D:$D,Data_Long_Form!$C:$C,Data_Pivot_Table!$V27,Data_Long_Form!$A:$A,Data_Pivot_Table!Y$4)=0,"",SUMIFS(Data_Long_Form!$D:$D,Data_Long_Form!$C:$C,Data_Pivot_Table!$V27,Data_Long_Form!$A:$A,Data_Pivot_Table!Y$4))</f>
        <v>207.89849000685075</v>
      </c>
      <c r="Z27">
        <f>+IF(SUMIFS(Data_Long_Form!$D:$D,Data_Long_Form!$C:$C,Data_Pivot_Table!$V27,Data_Long_Form!$A:$A,Data_Pivot_Table!Z$4)=0,"",SUMIFS(Data_Long_Form!$D:$D,Data_Long_Form!$C:$C,Data_Pivot_Table!$V27,Data_Long_Form!$A:$A,Data_Pivot_Table!Z$4))</f>
        <v>330.52079291823242</v>
      </c>
      <c r="AA27">
        <f>+IF(SUMIFS(Data_Long_Form!$D:$D,Data_Long_Form!$C:$C,Data_Pivot_Table!$V27,Data_Long_Form!$A:$A,Data_Pivot_Table!AA$4)=0,"",SUMIFS(Data_Long_Form!$D:$D,Data_Long_Form!$C:$C,Data_Pivot_Table!$V27,Data_Long_Form!$A:$A,Data_Pivot_Table!AA$4))</f>
        <v>311.57556613318684</v>
      </c>
      <c r="AB27">
        <f>+IF(SUMIFS(Data_Long_Form!$D:$D,Data_Long_Form!$C:$C,Data_Pivot_Table!$V27,Data_Long_Form!$A:$A,Data_Pivot_Table!AB$4)=0,"",SUMIFS(Data_Long_Form!$D:$D,Data_Long_Form!$C:$C,Data_Pivot_Table!$V27,Data_Long_Form!$A:$A,Data_Pivot_Table!AB$4))</f>
        <v>452.73830003795933</v>
      </c>
      <c r="AC27">
        <f>+IF(SUMIFS(Data_Long_Form!$D:$D,Data_Long_Form!$C:$C,Data_Pivot_Table!$V27,Data_Long_Form!$A:$A,Data_Pivot_Table!AC$4)=0,"",SUMIFS(Data_Long_Form!$D:$D,Data_Long_Form!$C:$C,Data_Pivot_Table!$V27,Data_Long_Form!$A:$A,Data_Pivot_Table!AC$4))</f>
        <v>368.17392786178124</v>
      </c>
    </row>
    <row r="28" spans="1:29" x14ac:dyDescent="0.2">
      <c r="A28" s="5">
        <v>0.41993055555555553</v>
      </c>
      <c r="B28" s="4"/>
      <c r="C28" s="4"/>
      <c r="D28" s="4"/>
      <c r="E28" s="4"/>
      <c r="F28" s="4">
        <v>1</v>
      </c>
      <c r="G28" s="4">
        <v>1</v>
      </c>
      <c r="H28" s="4"/>
      <c r="I28" s="4">
        <v>2</v>
      </c>
      <c r="J28" s="4"/>
      <c r="K28">
        <v>0.41993055555555553</v>
      </c>
      <c r="L28">
        <v>1</v>
      </c>
      <c r="M28">
        <v>1</v>
      </c>
      <c r="S28">
        <v>2</v>
      </c>
      <c r="V28" s="8">
        <v>0.41993055555555553</v>
      </c>
      <c r="W28">
        <f>+IF(SUMIFS(Data_Long_Form!$D:$D,Data_Long_Form!$C:$C,Data_Pivot_Table!$V28,Data_Long_Form!$A:$A,Data_Pivot_Table!W$4)=0,"",SUMIFS(Data_Long_Form!$D:$D,Data_Long_Form!$C:$C,Data_Pivot_Table!$V28,Data_Long_Form!$A:$A,Data_Pivot_Table!W$4))</f>
        <v>317.62927593534528</v>
      </c>
      <c r="X28">
        <f>+IF(SUMIFS(Data_Long_Form!$D:$D,Data_Long_Form!$C:$C,Data_Pivot_Table!$V28,Data_Long_Form!$A:$A,Data_Pivot_Table!X$4)=0,"",SUMIFS(Data_Long_Form!$D:$D,Data_Long_Form!$C:$C,Data_Pivot_Table!$V28,Data_Long_Form!$A:$A,Data_Pivot_Table!X$4))</f>
        <v>313.89273573355553</v>
      </c>
      <c r="Y28" t="str">
        <f>+IF(SUMIFS(Data_Long_Form!$D:$D,Data_Long_Form!$C:$C,Data_Pivot_Table!$V28,Data_Long_Form!$A:$A,Data_Pivot_Table!Y$4)=0,"",SUMIFS(Data_Long_Form!$D:$D,Data_Long_Form!$C:$C,Data_Pivot_Table!$V28,Data_Long_Form!$A:$A,Data_Pivot_Table!Y$4))</f>
        <v/>
      </c>
      <c r="Z28" t="str">
        <f>+IF(SUMIFS(Data_Long_Form!$D:$D,Data_Long_Form!$C:$C,Data_Pivot_Table!$V28,Data_Long_Form!$A:$A,Data_Pivot_Table!Z$4)=0,"",SUMIFS(Data_Long_Form!$D:$D,Data_Long_Form!$C:$C,Data_Pivot_Table!$V28,Data_Long_Form!$A:$A,Data_Pivot_Table!Z$4))</f>
        <v/>
      </c>
      <c r="AA28" t="str">
        <f>+IF(SUMIFS(Data_Long_Form!$D:$D,Data_Long_Form!$C:$C,Data_Pivot_Table!$V28,Data_Long_Form!$A:$A,Data_Pivot_Table!AA$4)=0,"",SUMIFS(Data_Long_Form!$D:$D,Data_Long_Form!$C:$C,Data_Pivot_Table!$V28,Data_Long_Form!$A:$A,Data_Pivot_Table!AA$4))</f>
        <v/>
      </c>
      <c r="AB28" t="str">
        <f>+IF(SUMIFS(Data_Long_Form!$D:$D,Data_Long_Form!$C:$C,Data_Pivot_Table!$V28,Data_Long_Form!$A:$A,Data_Pivot_Table!AB$4)=0,"",SUMIFS(Data_Long_Form!$D:$D,Data_Long_Form!$C:$C,Data_Pivot_Table!$V28,Data_Long_Form!$A:$A,Data_Pivot_Table!AB$4))</f>
        <v/>
      </c>
      <c r="AC28" t="str">
        <f>+IF(SUMIFS(Data_Long_Form!$D:$D,Data_Long_Form!$C:$C,Data_Pivot_Table!$V28,Data_Long_Form!$A:$A,Data_Pivot_Table!AC$4)=0,"",SUMIFS(Data_Long_Form!$D:$D,Data_Long_Form!$C:$C,Data_Pivot_Table!$V28,Data_Long_Form!$A:$A,Data_Pivot_Table!AC$4))</f>
        <v/>
      </c>
    </row>
    <row r="29" spans="1:29" x14ac:dyDescent="0.2">
      <c r="A29" s="5">
        <v>0.41994212962962962</v>
      </c>
      <c r="B29" s="4">
        <v>1</v>
      </c>
      <c r="C29" s="4"/>
      <c r="D29" s="4"/>
      <c r="E29" s="4"/>
      <c r="F29" s="4">
        <v>1</v>
      </c>
      <c r="G29" s="4">
        <v>1</v>
      </c>
      <c r="H29" s="4">
        <v>1</v>
      </c>
      <c r="I29" s="4">
        <v>4</v>
      </c>
      <c r="J29" s="4"/>
      <c r="K29">
        <v>0.41994212962962962</v>
      </c>
      <c r="L29">
        <v>1</v>
      </c>
      <c r="M29">
        <v>1</v>
      </c>
      <c r="N29">
        <v>1</v>
      </c>
      <c r="O29">
        <v>1</v>
      </c>
      <c r="S29">
        <v>4</v>
      </c>
      <c r="V29" s="8">
        <v>0.41994212962962962</v>
      </c>
      <c r="W29">
        <f>+IF(SUMIFS(Data_Long_Form!$D:$D,Data_Long_Form!$C:$C,Data_Pivot_Table!$V29,Data_Long_Form!$A:$A,Data_Pivot_Table!W$4)=0,"",SUMIFS(Data_Long_Form!$D:$D,Data_Long_Form!$C:$C,Data_Pivot_Table!$V29,Data_Long_Form!$A:$A,Data_Pivot_Table!W$4))</f>
        <v>360.98467626520198</v>
      </c>
      <c r="X29">
        <f>+IF(SUMIFS(Data_Long_Form!$D:$D,Data_Long_Form!$C:$C,Data_Pivot_Table!$V29,Data_Long_Form!$A:$A,Data_Pivot_Table!X$4)=0,"",SUMIFS(Data_Long_Form!$D:$D,Data_Long_Form!$C:$C,Data_Pivot_Table!$V29,Data_Long_Form!$A:$A,Data_Pivot_Table!X$4))</f>
        <v>348.76075013738176</v>
      </c>
      <c r="Y29">
        <f>+IF(SUMIFS(Data_Long_Form!$D:$D,Data_Long_Form!$C:$C,Data_Pivot_Table!$V29,Data_Long_Form!$A:$A,Data_Pivot_Table!Y$4)=0,"",SUMIFS(Data_Long_Form!$D:$D,Data_Long_Form!$C:$C,Data_Pivot_Table!$V29,Data_Long_Form!$A:$A,Data_Pivot_Table!Y$4))</f>
        <v>233.85886255654887</v>
      </c>
      <c r="Z29">
        <f>+IF(SUMIFS(Data_Long_Form!$D:$D,Data_Long_Form!$C:$C,Data_Pivot_Table!$V29,Data_Long_Form!$A:$A,Data_Pivot_Table!Z$4)=0,"",SUMIFS(Data_Long_Form!$D:$D,Data_Long_Form!$C:$C,Data_Pivot_Table!$V29,Data_Long_Form!$A:$A,Data_Pivot_Table!Z$4))</f>
        <v>363.71067923854275</v>
      </c>
      <c r="AA29" t="str">
        <f>+IF(SUMIFS(Data_Long_Form!$D:$D,Data_Long_Form!$C:$C,Data_Pivot_Table!$V29,Data_Long_Form!$A:$A,Data_Pivot_Table!AA$4)=0,"",SUMIFS(Data_Long_Form!$D:$D,Data_Long_Form!$C:$C,Data_Pivot_Table!$V29,Data_Long_Form!$A:$A,Data_Pivot_Table!AA$4))</f>
        <v/>
      </c>
      <c r="AB29" t="str">
        <f>+IF(SUMIFS(Data_Long_Form!$D:$D,Data_Long_Form!$C:$C,Data_Pivot_Table!$V29,Data_Long_Form!$A:$A,Data_Pivot_Table!AB$4)=0,"",SUMIFS(Data_Long_Form!$D:$D,Data_Long_Form!$C:$C,Data_Pivot_Table!$V29,Data_Long_Form!$A:$A,Data_Pivot_Table!AB$4))</f>
        <v/>
      </c>
      <c r="AC29" t="str">
        <f>+IF(SUMIFS(Data_Long_Form!$D:$D,Data_Long_Form!$C:$C,Data_Pivot_Table!$V29,Data_Long_Form!$A:$A,Data_Pivot_Table!AC$4)=0,"",SUMIFS(Data_Long_Form!$D:$D,Data_Long_Form!$C:$C,Data_Pivot_Table!$V29,Data_Long_Form!$A:$A,Data_Pivot_Table!AC$4))</f>
        <v/>
      </c>
    </row>
    <row r="30" spans="1:29" x14ac:dyDescent="0.2">
      <c r="A30" s="5">
        <v>0.41995370370370372</v>
      </c>
      <c r="B30" s="4">
        <v>1</v>
      </c>
      <c r="C30" s="4"/>
      <c r="D30" s="4"/>
      <c r="E30" s="4">
        <v>1</v>
      </c>
      <c r="F30" s="4">
        <v>1</v>
      </c>
      <c r="G30" s="4">
        <v>1</v>
      </c>
      <c r="H30" s="4"/>
      <c r="I30" s="4">
        <v>4</v>
      </c>
      <c r="J30" s="4"/>
      <c r="K30">
        <v>0.41995370370370372</v>
      </c>
      <c r="L30">
        <v>1</v>
      </c>
      <c r="M30">
        <v>1</v>
      </c>
      <c r="O30">
        <v>1</v>
      </c>
      <c r="R30">
        <v>1</v>
      </c>
      <c r="S30">
        <v>4</v>
      </c>
      <c r="V30" s="8">
        <v>0.41995370370370372</v>
      </c>
      <c r="W30">
        <f>+IF(SUMIFS(Data_Long_Form!$D:$D,Data_Long_Form!$C:$C,Data_Pivot_Table!$V30,Data_Long_Form!$A:$A,Data_Pivot_Table!W$4)=0,"",SUMIFS(Data_Long_Form!$D:$D,Data_Long_Form!$C:$C,Data_Pivot_Table!$V30,Data_Long_Form!$A:$A,Data_Pivot_Table!W$4))</f>
        <v>317.50218593603779</v>
      </c>
      <c r="X30">
        <f>+IF(SUMIFS(Data_Long_Form!$D:$D,Data_Long_Form!$C:$C,Data_Pivot_Table!$V30,Data_Long_Form!$A:$A,Data_Pivot_Table!X$4)=0,"",SUMIFS(Data_Long_Form!$D:$D,Data_Long_Form!$C:$C,Data_Pivot_Table!$V30,Data_Long_Form!$A:$A,Data_Pivot_Table!X$4))</f>
        <v>329.40712761090441</v>
      </c>
      <c r="Y30" t="str">
        <f>+IF(SUMIFS(Data_Long_Form!$D:$D,Data_Long_Form!$C:$C,Data_Pivot_Table!$V30,Data_Long_Form!$A:$A,Data_Pivot_Table!Y$4)=0,"",SUMIFS(Data_Long_Form!$D:$D,Data_Long_Form!$C:$C,Data_Pivot_Table!$V30,Data_Long_Form!$A:$A,Data_Pivot_Table!Y$4))</f>
        <v/>
      </c>
      <c r="Z30">
        <f>+IF(SUMIFS(Data_Long_Form!$D:$D,Data_Long_Form!$C:$C,Data_Pivot_Table!$V30,Data_Long_Form!$A:$A,Data_Pivot_Table!Z$4)=0,"",SUMIFS(Data_Long_Form!$D:$D,Data_Long_Form!$C:$C,Data_Pivot_Table!$V30,Data_Long_Form!$A:$A,Data_Pivot_Table!Z$4))</f>
        <v>333.73395855531697</v>
      </c>
      <c r="AA30" t="str">
        <f>+IF(SUMIFS(Data_Long_Form!$D:$D,Data_Long_Form!$C:$C,Data_Pivot_Table!$V30,Data_Long_Form!$A:$A,Data_Pivot_Table!AA$4)=0,"",SUMIFS(Data_Long_Form!$D:$D,Data_Long_Form!$C:$C,Data_Pivot_Table!$V30,Data_Long_Form!$A:$A,Data_Pivot_Table!AA$4))</f>
        <v/>
      </c>
      <c r="AB30" t="str">
        <f>+IF(SUMIFS(Data_Long_Form!$D:$D,Data_Long_Form!$C:$C,Data_Pivot_Table!$V30,Data_Long_Form!$A:$A,Data_Pivot_Table!AB$4)=0,"",SUMIFS(Data_Long_Form!$D:$D,Data_Long_Form!$C:$C,Data_Pivot_Table!$V30,Data_Long_Form!$A:$A,Data_Pivot_Table!AB$4))</f>
        <v/>
      </c>
      <c r="AC30">
        <f>+IF(SUMIFS(Data_Long_Form!$D:$D,Data_Long_Form!$C:$C,Data_Pivot_Table!$V30,Data_Long_Form!$A:$A,Data_Pivot_Table!AC$4)=0,"",SUMIFS(Data_Long_Form!$D:$D,Data_Long_Form!$C:$C,Data_Pivot_Table!$V30,Data_Long_Form!$A:$A,Data_Pivot_Table!AC$4))</f>
        <v>347.00753888541198</v>
      </c>
    </row>
    <row r="31" spans="1:29" x14ac:dyDescent="0.2">
      <c r="A31" s="5">
        <v>0.41996527777777776</v>
      </c>
      <c r="B31" s="4">
        <v>1</v>
      </c>
      <c r="C31" s="4"/>
      <c r="D31" s="4"/>
      <c r="E31" s="4"/>
      <c r="F31" s="4">
        <v>1</v>
      </c>
      <c r="G31" s="4">
        <v>1</v>
      </c>
      <c r="H31" s="4"/>
      <c r="I31" s="4">
        <v>3</v>
      </c>
      <c r="J31" s="4"/>
      <c r="K31">
        <v>0.41996527777777776</v>
      </c>
      <c r="L31">
        <v>1</v>
      </c>
      <c r="M31">
        <v>1</v>
      </c>
      <c r="O31">
        <v>1</v>
      </c>
      <c r="S31">
        <v>3</v>
      </c>
      <c r="V31" s="8">
        <v>0.41996527777777776</v>
      </c>
      <c r="W31">
        <f>+IF(SUMIFS(Data_Long_Form!$D:$D,Data_Long_Form!$C:$C,Data_Pivot_Table!$V31,Data_Long_Form!$A:$A,Data_Pivot_Table!W$4)=0,"",SUMIFS(Data_Long_Form!$D:$D,Data_Long_Form!$C:$C,Data_Pivot_Table!$V31,Data_Long_Form!$A:$A,Data_Pivot_Table!W$4))</f>
        <v>334.9661312286396</v>
      </c>
      <c r="X31">
        <f>+IF(SUMIFS(Data_Long_Form!$D:$D,Data_Long_Form!$C:$C,Data_Pivot_Table!$V31,Data_Long_Form!$A:$A,Data_Pivot_Table!X$4)=0,"",SUMIFS(Data_Long_Form!$D:$D,Data_Long_Form!$C:$C,Data_Pivot_Table!$V31,Data_Long_Form!$A:$A,Data_Pivot_Table!X$4))</f>
        <v>327.29589538990541</v>
      </c>
      <c r="Y31" t="str">
        <f>+IF(SUMIFS(Data_Long_Form!$D:$D,Data_Long_Form!$C:$C,Data_Pivot_Table!$V31,Data_Long_Form!$A:$A,Data_Pivot_Table!Y$4)=0,"",SUMIFS(Data_Long_Form!$D:$D,Data_Long_Form!$C:$C,Data_Pivot_Table!$V31,Data_Long_Form!$A:$A,Data_Pivot_Table!Y$4))</f>
        <v/>
      </c>
      <c r="Z31">
        <f>+IF(SUMIFS(Data_Long_Form!$D:$D,Data_Long_Form!$C:$C,Data_Pivot_Table!$V31,Data_Long_Form!$A:$A,Data_Pivot_Table!Z$4)=0,"",SUMIFS(Data_Long_Form!$D:$D,Data_Long_Form!$C:$C,Data_Pivot_Table!$V31,Data_Long_Form!$A:$A,Data_Pivot_Table!Z$4))</f>
        <v>334.74395213708368</v>
      </c>
      <c r="AA31" t="str">
        <f>+IF(SUMIFS(Data_Long_Form!$D:$D,Data_Long_Form!$C:$C,Data_Pivot_Table!$V31,Data_Long_Form!$A:$A,Data_Pivot_Table!AA$4)=0,"",SUMIFS(Data_Long_Form!$D:$D,Data_Long_Form!$C:$C,Data_Pivot_Table!$V31,Data_Long_Form!$A:$A,Data_Pivot_Table!AA$4))</f>
        <v/>
      </c>
      <c r="AB31" t="str">
        <f>+IF(SUMIFS(Data_Long_Form!$D:$D,Data_Long_Form!$C:$C,Data_Pivot_Table!$V31,Data_Long_Form!$A:$A,Data_Pivot_Table!AB$4)=0,"",SUMIFS(Data_Long_Form!$D:$D,Data_Long_Form!$C:$C,Data_Pivot_Table!$V31,Data_Long_Form!$A:$A,Data_Pivot_Table!AB$4))</f>
        <v/>
      </c>
      <c r="AC31" t="str">
        <f>+IF(SUMIFS(Data_Long_Form!$D:$D,Data_Long_Form!$C:$C,Data_Pivot_Table!$V31,Data_Long_Form!$A:$A,Data_Pivot_Table!AC$4)=0,"",SUMIFS(Data_Long_Form!$D:$D,Data_Long_Form!$C:$C,Data_Pivot_Table!$V31,Data_Long_Form!$A:$A,Data_Pivot_Table!AC$4))</f>
        <v/>
      </c>
    </row>
    <row r="32" spans="1:29" x14ac:dyDescent="0.2">
      <c r="A32" s="5">
        <v>0.41997685185185185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7</v>
      </c>
      <c r="J32" s="4"/>
      <c r="K32">
        <v>0.41997685185185185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7</v>
      </c>
      <c r="V32" s="8">
        <v>0.41997685185185185</v>
      </c>
      <c r="W32">
        <f>+IF(SUMIFS(Data_Long_Form!$D:$D,Data_Long_Form!$C:$C,Data_Pivot_Table!$V32,Data_Long_Form!$A:$A,Data_Pivot_Table!W$4)=0,"",SUMIFS(Data_Long_Form!$D:$D,Data_Long_Form!$C:$C,Data_Pivot_Table!$V32,Data_Long_Form!$A:$A,Data_Pivot_Table!W$4))</f>
        <v>342.43744636345923</v>
      </c>
      <c r="X32">
        <f>+IF(SUMIFS(Data_Long_Form!$D:$D,Data_Long_Form!$C:$C,Data_Pivot_Table!$V32,Data_Long_Form!$A:$A,Data_Pivot_Table!X$4)=0,"",SUMIFS(Data_Long_Form!$D:$D,Data_Long_Form!$C:$C,Data_Pivot_Table!$V32,Data_Long_Form!$A:$A,Data_Pivot_Table!X$4))</f>
        <v>330.12175558587364</v>
      </c>
      <c r="Y32">
        <f>+IF(SUMIFS(Data_Long_Form!$D:$D,Data_Long_Form!$C:$C,Data_Pivot_Table!$V32,Data_Long_Form!$A:$A,Data_Pivot_Table!Y$4)=0,"",SUMIFS(Data_Long_Form!$D:$D,Data_Long_Form!$C:$C,Data_Pivot_Table!$V32,Data_Long_Form!$A:$A,Data_Pivot_Table!Y$4))</f>
        <v>191.05478154254328</v>
      </c>
      <c r="Z32">
        <f>+IF(SUMIFS(Data_Long_Form!$D:$D,Data_Long_Form!$C:$C,Data_Pivot_Table!$V32,Data_Long_Form!$A:$A,Data_Pivot_Table!Z$4)=0,"",SUMIFS(Data_Long_Form!$D:$D,Data_Long_Form!$C:$C,Data_Pivot_Table!$V32,Data_Long_Form!$A:$A,Data_Pivot_Table!Z$4))</f>
        <v>339.43941674482124</v>
      </c>
      <c r="AA32">
        <f>+IF(SUMIFS(Data_Long_Form!$D:$D,Data_Long_Form!$C:$C,Data_Pivot_Table!$V32,Data_Long_Form!$A:$A,Data_Pivot_Table!AA$4)=0,"",SUMIFS(Data_Long_Form!$D:$D,Data_Long_Form!$C:$C,Data_Pivot_Table!$V32,Data_Long_Form!$A:$A,Data_Pivot_Table!AA$4))</f>
        <v>351.76128909675191</v>
      </c>
      <c r="AB32">
        <f>+IF(SUMIFS(Data_Long_Form!$D:$D,Data_Long_Form!$C:$C,Data_Pivot_Table!$V32,Data_Long_Form!$A:$A,Data_Pivot_Table!AB$4)=0,"",SUMIFS(Data_Long_Form!$D:$D,Data_Long_Form!$C:$C,Data_Pivot_Table!$V32,Data_Long_Form!$A:$A,Data_Pivot_Table!AB$4))</f>
        <v>430.56261132767753</v>
      </c>
      <c r="AC32">
        <f>+IF(SUMIFS(Data_Long_Form!$D:$D,Data_Long_Form!$C:$C,Data_Pivot_Table!$V32,Data_Long_Form!$A:$A,Data_Pivot_Table!AC$4)=0,"",SUMIFS(Data_Long_Form!$D:$D,Data_Long_Form!$C:$C,Data_Pivot_Table!$V32,Data_Long_Form!$A:$A,Data_Pivot_Table!AC$4))</f>
        <v>354.45719035048501</v>
      </c>
    </row>
    <row r="33" spans="1:29" x14ac:dyDescent="0.2">
      <c r="A33" s="5">
        <v>0.41998842592592595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7</v>
      </c>
      <c r="J33" s="4"/>
      <c r="K33">
        <v>0.41998842592592595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7</v>
      </c>
      <c r="V33" s="8">
        <v>0.41998842592592595</v>
      </c>
      <c r="W33">
        <f>+IF(SUMIFS(Data_Long_Form!$D:$D,Data_Long_Form!$C:$C,Data_Pivot_Table!$V33,Data_Long_Form!$A:$A,Data_Pivot_Table!W$4)=0,"",SUMIFS(Data_Long_Form!$D:$D,Data_Long_Form!$C:$C,Data_Pivot_Table!$V33,Data_Long_Form!$A:$A,Data_Pivot_Table!W$4))</f>
        <v>340.0946640529599</v>
      </c>
      <c r="X33">
        <f>+IF(SUMIFS(Data_Long_Form!$D:$D,Data_Long_Form!$C:$C,Data_Pivot_Table!$V33,Data_Long_Form!$A:$A,Data_Pivot_Table!X$4)=0,"",SUMIFS(Data_Long_Form!$D:$D,Data_Long_Form!$C:$C,Data_Pivot_Table!$V33,Data_Long_Form!$A:$A,Data_Pivot_Table!X$4))</f>
        <v>328.91032162412034</v>
      </c>
      <c r="Y33">
        <f>+IF(SUMIFS(Data_Long_Form!$D:$D,Data_Long_Form!$C:$C,Data_Pivot_Table!$V33,Data_Long_Form!$A:$A,Data_Pivot_Table!Y$4)=0,"",SUMIFS(Data_Long_Form!$D:$D,Data_Long_Form!$C:$C,Data_Pivot_Table!$V33,Data_Long_Form!$A:$A,Data_Pivot_Table!Y$4))</f>
        <v>185.24535576175549</v>
      </c>
      <c r="Z33">
        <f>+IF(SUMIFS(Data_Long_Form!$D:$D,Data_Long_Form!$C:$C,Data_Pivot_Table!$V33,Data_Long_Form!$A:$A,Data_Pivot_Table!Z$4)=0,"",SUMIFS(Data_Long_Form!$D:$D,Data_Long_Form!$C:$C,Data_Pivot_Table!$V33,Data_Long_Form!$A:$A,Data_Pivot_Table!Z$4))</f>
        <v>337.1318985383283</v>
      </c>
      <c r="AA33">
        <f>+IF(SUMIFS(Data_Long_Form!$D:$D,Data_Long_Form!$C:$C,Data_Pivot_Table!$V33,Data_Long_Form!$A:$A,Data_Pivot_Table!AA$4)=0,"",SUMIFS(Data_Long_Form!$D:$D,Data_Long_Form!$C:$C,Data_Pivot_Table!$V33,Data_Long_Form!$A:$A,Data_Pivot_Table!AA$4))</f>
        <v>350.23478573176442</v>
      </c>
      <c r="AB33">
        <f>+IF(SUMIFS(Data_Long_Form!$D:$D,Data_Long_Form!$C:$C,Data_Pivot_Table!$V33,Data_Long_Form!$A:$A,Data_Pivot_Table!AB$4)=0,"",SUMIFS(Data_Long_Form!$D:$D,Data_Long_Form!$C:$C,Data_Pivot_Table!$V33,Data_Long_Form!$A:$A,Data_Pivot_Table!AB$4))</f>
        <v>426.54357703830192</v>
      </c>
      <c r="AC33">
        <f>+IF(SUMIFS(Data_Long_Form!$D:$D,Data_Long_Form!$C:$C,Data_Pivot_Table!$V33,Data_Long_Form!$A:$A,Data_Pivot_Table!AC$4)=0,"",SUMIFS(Data_Long_Form!$D:$D,Data_Long_Form!$C:$C,Data_Pivot_Table!$V33,Data_Long_Form!$A:$A,Data_Pivot_Table!AC$4))</f>
        <v>344.46450075765551</v>
      </c>
    </row>
    <row r="34" spans="1:29" x14ac:dyDescent="0.2">
      <c r="A34" s="5">
        <v>0.42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7</v>
      </c>
      <c r="J34" s="4"/>
      <c r="K34">
        <v>0.42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7</v>
      </c>
      <c r="V34" s="8">
        <v>0.42</v>
      </c>
      <c r="W34">
        <f>+IF(SUMIFS(Data_Long_Form!$D:$D,Data_Long_Form!$C:$C,Data_Pivot_Table!$V34,Data_Long_Form!$A:$A,Data_Pivot_Table!W$4)=0,"",SUMIFS(Data_Long_Form!$D:$D,Data_Long_Form!$C:$C,Data_Pivot_Table!$V34,Data_Long_Form!$A:$A,Data_Pivot_Table!W$4))</f>
        <v>337.41801027392484</v>
      </c>
      <c r="X34">
        <f>+IF(SUMIFS(Data_Long_Form!$D:$D,Data_Long_Form!$C:$C,Data_Pivot_Table!$V34,Data_Long_Form!$A:$A,Data_Pivot_Table!X$4)=0,"",SUMIFS(Data_Long_Form!$D:$D,Data_Long_Form!$C:$C,Data_Pivot_Table!$V34,Data_Long_Form!$A:$A,Data_Pivot_Table!X$4))</f>
        <v>324.56831296890186</v>
      </c>
      <c r="Y34">
        <f>+IF(SUMIFS(Data_Long_Form!$D:$D,Data_Long_Form!$C:$C,Data_Pivot_Table!$V34,Data_Long_Form!$A:$A,Data_Pivot_Table!Y$4)=0,"",SUMIFS(Data_Long_Form!$D:$D,Data_Long_Form!$C:$C,Data_Pivot_Table!$V34,Data_Long_Form!$A:$A,Data_Pivot_Table!Y$4))</f>
        <v>179.80819809198368</v>
      </c>
      <c r="Z34">
        <f>+IF(SUMIFS(Data_Long_Form!$D:$D,Data_Long_Form!$C:$C,Data_Pivot_Table!$V34,Data_Long_Form!$A:$A,Data_Pivot_Table!Z$4)=0,"",SUMIFS(Data_Long_Form!$D:$D,Data_Long_Form!$C:$C,Data_Pivot_Table!$V34,Data_Long_Form!$A:$A,Data_Pivot_Table!Z$4))</f>
        <v>337.32473951650508</v>
      </c>
      <c r="AA34">
        <f>+IF(SUMIFS(Data_Long_Form!$D:$D,Data_Long_Form!$C:$C,Data_Pivot_Table!$V34,Data_Long_Form!$A:$A,Data_Pivot_Table!AA$4)=0,"",SUMIFS(Data_Long_Form!$D:$D,Data_Long_Form!$C:$C,Data_Pivot_Table!$V34,Data_Long_Form!$A:$A,Data_Pivot_Table!AA$4))</f>
        <v>347.46696541711503</v>
      </c>
      <c r="AB34">
        <f>+IF(SUMIFS(Data_Long_Form!$D:$D,Data_Long_Form!$C:$C,Data_Pivot_Table!$V34,Data_Long_Form!$A:$A,Data_Pivot_Table!AB$4)=0,"",SUMIFS(Data_Long_Form!$D:$D,Data_Long_Form!$C:$C,Data_Pivot_Table!$V34,Data_Long_Form!$A:$A,Data_Pivot_Table!AB$4))</f>
        <v>421.05143240459654</v>
      </c>
      <c r="AC34">
        <f>+IF(SUMIFS(Data_Long_Form!$D:$D,Data_Long_Form!$C:$C,Data_Pivot_Table!$V34,Data_Long_Form!$A:$A,Data_Pivot_Table!AC$4)=0,"",SUMIFS(Data_Long_Form!$D:$D,Data_Long_Form!$C:$C,Data_Pivot_Table!$V34,Data_Long_Form!$A:$A,Data_Pivot_Table!AC$4))</f>
        <v>330.22652762107731</v>
      </c>
    </row>
    <row r="35" spans="1:29" x14ac:dyDescent="0.2">
      <c r="A35" s="5">
        <v>0.42001157407407408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7</v>
      </c>
      <c r="J35" s="4"/>
      <c r="K35">
        <v>0.42001157407407408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7</v>
      </c>
      <c r="V35" s="8">
        <v>0.42001157407407408</v>
      </c>
      <c r="W35">
        <f>+IF(SUMIFS(Data_Long_Form!$D:$D,Data_Long_Form!$C:$C,Data_Pivot_Table!$V35,Data_Long_Form!$A:$A,Data_Pivot_Table!W$4)=0,"",SUMIFS(Data_Long_Form!$D:$D,Data_Long_Form!$C:$C,Data_Pivot_Table!$V35,Data_Long_Form!$A:$A,Data_Pivot_Table!W$4))</f>
        <v>344.51895944077216</v>
      </c>
      <c r="X35">
        <f>+IF(SUMIFS(Data_Long_Form!$D:$D,Data_Long_Form!$C:$C,Data_Pivot_Table!$V35,Data_Long_Form!$A:$A,Data_Pivot_Table!X$4)=0,"",SUMIFS(Data_Long_Form!$D:$D,Data_Long_Form!$C:$C,Data_Pivot_Table!$V35,Data_Long_Form!$A:$A,Data_Pivot_Table!X$4))</f>
        <v>325.23702339468053</v>
      </c>
      <c r="Y35">
        <f>+IF(SUMIFS(Data_Long_Form!$D:$D,Data_Long_Form!$C:$C,Data_Pivot_Table!$V35,Data_Long_Form!$A:$A,Data_Pivot_Table!Y$4)=0,"",SUMIFS(Data_Long_Form!$D:$D,Data_Long_Form!$C:$C,Data_Pivot_Table!$V35,Data_Long_Form!$A:$A,Data_Pivot_Table!Y$4))</f>
        <v>186.23391619622291</v>
      </c>
      <c r="Z35">
        <f>+IF(SUMIFS(Data_Long_Form!$D:$D,Data_Long_Form!$C:$C,Data_Pivot_Table!$V35,Data_Long_Form!$A:$A,Data_Pivot_Table!Z$4)=0,"",SUMIFS(Data_Long_Form!$D:$D,Data_Long_Form!$C:$C,Data_Pivot_Table!$V35,Data_Long_Form!$A:$A,Data_Pivot_Table!Z$4))</f>
        <v>340.13071753871668</v>
      </c>
      <c r="AA35">
        <f>+IF(SUMIFS(Data_Long_Form!$D:$D,Data_Long_Form!$C:$C,Data_Pivot_Table!$V35,Data_Long_Form!$A:$A,Data_Pivot_Table!AA$4)=0,"",SUMIFS(Data_Long_Form!$D:$D,Data_Long_Form!$C:$C,Data_Pivot_Table!$V35,Data_Long_Form!$A:$A,Data_Pivot_Table!AA$4))</f>
        <v>356.93366260489654</v>
      </c>
      <c r="AB35">
        <f>+IF(SUMIFS(Data_Long_Form!$D:$D,Data_Long_Form!$C:$C,Data_Pivot_Table!$V35,Data_Long_Form!$A:$A,Data_Pivot_Table!AB$4)=0,"",SUMIFS(Data_Long_Form!$D:$D,Data_Long_Form!$C:$C,Data_Pivot_Table!$V35,Data_Long_Form!$A:$A,Data_Pivot_Table!AB$4))</f>
        <v>414.09209665862994</v>
      </c>
      <c r="AC35">
        <f>+IF(SUMIFS(Data_Long_Form!$D:$D,Data_Long_Form!$C:$C,Data_Pivot_Table!$V35,Data_Long_Form!$A:$A,Data_Pivot_Table!AC$4)=0,"",SUMIFS(Data_Long_Form!$D:$D,Data_Long_Form!$C:$C,Data_Pivot_Table!$V35,Data_Long_Form!$A:$A,Data_Pivot_Table!AC$4))</f>
        <v>345.24398643381528</v>
      </c>
    </row>
    <row r="36" spans="1:29" x14ac:dyDescent="0.2">
      <c r="A36" s="5">
        <v>0.42002314814814817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7</v>
      </c>
      <c r="J36" s="4"/>
      <c r="K36">
        <v>0.42002314814814817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7</v>
      </c>
      <c r="V36" s="8">
        <v>0.42002314814814817</v>
      </c>
      <c r="W36">
        <f>+IF(SUMIFS(Data_Long_Form!$D:$D,Data_Long_Form!$C:$C,Data_Pivot_Table!$V36,Data_Long_Form!$A:$A,Data_Pivot_Table!W$4)=0,"",SUMIFS(Data_Long_Form!$D:$D,Data_Long_Form!$C:$C,Data_Pivot_Table!$V36,Data_Long_Form!$A:$A,Data_Pivot_Table!W$4))</f>
        <v>344.19507426197526</v>
      </c>
      <c r="X36">
        <f>+IF(SUMIFS(Data_Long_Form!$D:$D,Data_Long_Form!$C:$C,Data_Pivot_Table!$V36,Data_Long_Form!$A:$A,Data_Pivot_Table!X$4)=0,"",SUMIFS(Data_Long_Form!$D:$D,Data_Long_Form!$C:$C,Data_Pivot_Table!$V36,Data_Long_Form!$A:$A,Data_Pivot_Table!X$4))</f>
        <v>338.82898521414387</v>
      </c>
      <c r="Y36">
        <f>+IF(SUMIFS(Data_Long_Form!$D:$D,Data_Long_Form!$C:$C,Data_Pivot_Table!$V36,Data_Long_Form!$A:$A,Data_Pivot_Table!Y$4)=0,"",SUMIFS(Data_Long_Form!$D:$D,Data_Long_Form!$C:$C,Data_Pivot_Table!$V36,Data_Long_Form!$A:$A,Data_Pivot_Table!Y$4))</f>
        <v>216.2845122211142</v>
      </c>
      <c r="Z36">
        <f>+IF(SUMIFS(Data_Long_Form!$D:$D,Data_Long_Form!$C:$C,Data_Pivot_Table!$V36,Data_Long_Form!$A:$A,Data_Pivot_Table!Z$4)=0,"",SUMIFS(Data_Long_Form!$D:$D,Data_Long_Form!$C:$C,Data_Pivot_Table!$V36,Data_Long_Form!$A:$A,Data_Pivot_Table!Z$4))</f>
        <v>353.91099212886115</v>
      </c>
      <c r="AA36">
        <f>+IF(SUMIFS(Data_Long_Form!$D:$D,Data_Long_Form!$C:$C,Data_Pivot_Table!$V36,Data_Long_Form!$A:$A,Data_Pivot_Table!AA$4)=0,"",SUMIFS(Data_Long_Form!$D:$D,Data_Long_Form!$C:$C,Data_Pivot_Table!$V36,Data_Long_Form!$A:$A,Data_Pivot_Table!AA$4))</f>
        <v>362.0500096763879</v>
      </c>
      <c r="AB36">
        <f>+IF(SUMIFS(Data_Long_Form!$D:$D,Data_Long_Form!$C:$C,Data_Pivot_Table!$V36,Data_Long_Form!$A:$A,Data_Pivot_Table!AB$4)=0,"",SUMIFS(Data_Long_Form!$D:$D,Data_Long_Form!$C:$C,Data_Pivot_Table!$V36,Data_Long_Form!$A:$A,Data_Pivot_Table!AB$4))</f>
        <v>433.10695028183028</v>
      </c>
      <c r="AC36">
        <f>+IF(SUMIFS(Data_Long_Form!$D:$D,Data_Long_Form!$C:$C,Data_Pivot_Table!$V36,Data_Long_Form!$A:$A,Data_Pivot_Table!AC$4)=0,"",SUMIFS(Data_Long_Form!$D:$D,Data_Long_Form!$C:$C,Data_Pivot_Table!$V36,Data_Long_Form!$A:$A,Data_Pivot_Table!AC$4))</f>
        <v>425.33500105344274</v>
      </c>
    </row>
    <row r="37" spans="1:29" x14ac:dyDescent="0.2">
      <c r="A37" s="5">
        <v>0.42003472222222221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7</v>
      </c>
      <c r="J37" s="4"/>
      <c r="K37">
        <v>0.42003472222222221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7</v>
      </c>
      <c r="V37" s="8">
        <v>0.42003472222222221</v>
      </c>
      <c r="W37">
        <f>+IF(SUMIFS(Data_Long_Form!$D:$D,Data_Long_Form!$C:$C,Data_Pivot_Table!$V37,Data_Long_Form!$A:$A,Data_Pivot_Table!W$4)=0,"",SUMIFS(Data_Long_Form!$D:$D,Data_Long_Form!$C:$C,Data_Pivot_Table!$V37,Data_Long_Form!$A:$A,Data_Pivot_Table!W$4))</f>
        <v>330.43075754776271</v>
      </c>
      <c r="X37">
        <f>+IF(SUMIFS(Data_Long_Form!$D:$D,Data_Long_Form!$C:$C,Data_Pivot_Table!$V37,Data_Long_Form!$A:$A,Data_Pivot_Table!X$4)=0,"",SUMIFS(Data_Long_Form!$D:$D,Data_Long_Form!$C:$C,Data_Pivot_Table!$V37,Data_Long_Form!$A:$A,Data_Pivot_Table!X$4))</f>
        <v>326.35660375753736</v>
      </c>
      <c r="Y37">
        <f>+IF(SUMIFS(Data_Long_Form!$D:$D,Data_Long_Form!$C:$C,Data_Pivot_Table!$V37,Data_Long_Form!$A:$A,Data_Pivot_Table!Y$4)=0,"",SUMIFS(Data_Long_Form!$D:$D,Data_Long_Form!$C:$C,Data_Pivot_Table!$V37,Data_Long_Form!$A:$A,Data_Pivot_Table!Y$4))</f>
        <v>215.85154160895584</v>
      </c>
      <c r="Z37">
        <f>+IF(SUMIFS(Data_Long_Form!$D:$D,Data_Long_Form!$C:$C,Data_Pivot_Table!$V37,Data_Long_Form!$A:$A,Data_Pivot_Table!Z$4)=0,"",SUMIFS(Data_Long_Form!$D:$D,Data_Long_Form!$C:$C,Data_Pivot_Table!$V37,Data_Long_Form!$A:$A,Data_Pivot_Table!Z$4))</f>
        <v>322.8341499697728</v>
      </c>
      <c r="AA37">
        <f>+IF(SUMIFS(Data_Long_Form!$D:$D,Data_Long_Form!$C:$C,Data_Pivot_Table!$V37,Data_Long_Form!$A:$A,Data_Pivot_Table!AA$4)=0,"",SUMIFS(Data_Long_Form!$D:$D,Data_Long_Form!$C:$C,Data_Pivot_Table!$V37,Data_Long_Form!$A:$A,Data_Pivot_Table!AA$4))</f>
        <v>329.46404788130633</v>
      </c>
      <c r="AB37">
        <f>+IF(SUMIFS(Data_Long_Form!$D:$D,Data_Long_Form!$C:$C,Data_Pivot_Table!$V37,Data_Long_Form!$A:$A,Data_Pivot_Table!AB$4)=0,"",SUMIFS(Data_Long_Form!$D:$D,Data_Long_Form!$C:$C,Data_Pivot_Table!$V37,Data_Long_Form!$A:$A,Data_Pivot_Table!AB$4))</f>
        <v>441.73807092593557</v>
      </c>
      <c r="AC37">
        <f>+IF(SUMIFS(Data_Long_Form!$D:$D,Data_Long_Form!$C:$C,Data_Pivot_Table!$V37,Data_Long_Form!$A:$A,Data_Pivot_Table!AC$4)=0,"",SUMIFS(Data_Long_Form!$D:$D,Data_Long_Form!$C:$C,Data_Pivot_Table!$V37,Data_Long_Form!$A:$A,Data_Pivot_Table!AC$4))</f>
        <v>436.0735832022217</v>
      </c>
    </row>
    <row r="38" spans="1:29" x14ac:dyDescent="0.2">
      <c r="A38" s="5">
        <v>0.42004629629629631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7</v>
      </c>
      <c r="J38" s="4"/>
      <c r="K38">
        <v>0.42004629629629631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7</v>
      </c>
      <c r="V38" s="8">
        <v>0.42004629629629631</v>
      </c>
      <c r="W38">
        <f>+IF(SUMIFS(Data_Long_Form!$D:$D,Data_Long_Form!$C:$C,Data_Pivot_Table!$V38,Data_Long_Form!$A:$A,Data_Pivot_Table!W$4)=0,"",SUMIFS(Data_Long_Form!$D:$D,Data_Long_Form!$C:$C,Data_Pivot_Table!$V38,Data_Long_Form!$A:$A,Data_Pivot_Table!W$4))</f>
        <v>320.628215178159</v>
      </c>
      <c r="X38">
        <f>+IF(SUMIFS(Data_Long_Form!$D:$D,Data_Long_Form!$C:$C,Data_Pivot_Table!$V38,Data_Long_Form!$A:$A,Data_Pivot_Table!X$4)=0,"",SUMIFS(Data_Long_Form!$D:$D,Data_Long_Form!$C:$C,Data_Pivot_Table!$V38,Data_Long_Form!$A:$A,Data_Pivot_Table!X$4))</f>
        <v>333.53553115762895</v>
      </c>
      <c r="Y38">
        <f>+IF(SUMIFS(Data_Long_Form!$D:$D,Data_Long_Form!$C:$C,Data_Pivot_Table!$V38,Data_Long_Form!$A:$A,Data_Pivot_Table!Y$4)=0,"",SUMIFS(Data_Long_Form!$D:$D,Data_Long_Form!$C:$C,Data_Pivot_Table!$V38,Data_Long_Form!$A:$A,Data_Pivot_Table!Y$4))</f>
        <v>209.33095184263999</v>
      </c>
      <c r="Z38">
        <f>+IF(SUMIFS(Data_Long_Form!$D:$D,Data_Long_Form!$C:$C,Data_Pivot_Table!$V38,Data_Long_Form!$A:$A,Data_Pivot_Table!Z$4)=0,"",SUMIFS(Data_Long_Form!$D:$D,Data_Long_Form!$C:$C,Data_Pivot_Table!$V38,Data_Long_Form!$A:$A,Data_Pivot_Table!Z$4))</f>
        <v>333.33949932346832</v>
      </c>
      <c r="AA38">
        <f>+IF(SUMIFS(Data_Long_Form!$D:$D,Data_Long_Form!$C:$C,Data_Pivot_Table!$V38,Data_Long_Form!$A:$A,Data_Pivot_Table!AA$4)=0,"",SUMIFS(Data_Long_Form!$D:$D,Data_Long_Form!$C:$C,Data_Pivot_Table!$V38,Data_Long_Form!$A:$A,Data_Pivot_Table!AA$4))</f>
        <v>316.77853084687627</v>
      </c>
      <c r="AB38">
        <f>+IF(SUMIFS(Data_Long_Form!$D:$D,Data_Long_Form!$C:$C,Data_Pivot_Table!$V38,Data_Long_Form!$A:$A,Data_Pivot_Table!AB$4)=0,"",SUMIFS(Data_Long_Form!$D:$D,Data_Long_Form!$C:$C,Data_Pivot_Table!$V38,Data_Long_Form!$A:$A,Data_Pivot_Table!AB$4))</f>
        <v>457.60189132460829</v>
      </c>
      <c r="AC38">
        <f>+IF(SUMIFS(Data_Long_Form!$D:$D,Data_Long_Form!$C:$C,Data_Pivot_Table!$V38,Data_Long_Form!$A:$A,Data_Pivot_Table!AC$4)=0,"",SUMIFS(Data_Long_Form!$D:$D,Data_Long_Form!$C:$C,Data_Pivot_Table!$V38,Data_Long_Form!$A:$A,Data_Pivot_Table!AC$4))</f>
        <v>391.34137940349291</v>
      </c>
    </row>
    <row r="39" spans="1:29" x14ac:dyDescent="0.2">
      <c r="A39" s="5">
        <v>0.42005787037037035</v>
      </c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7</v>
      </c>
      <c r="J39" s="4"/>
      <c r="K39">
        <v>0.42005787037037035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7</v>
      </c>
      <c r="V39" s="8">
        <v>0.42005787037037035</v>
      </c>
      <c r="W39">
        <f>+IF(SUMIFS(Data_Long_Form!$D:$D,Data_Long_Form!$C:$C,Data_Pivot_Table!$V39,Data_Long_Form!$A:$A,Data_Pivot_Table!W$4)=0,"",SUMIFS(Data_Long_Form!$D:$D,Data_Long_Form!$C:$C,Data_Pivot_Table!$V39,Data_Long_Form!$A:$A,Data_Pivot_Table!W$4))</f>
        <v>339.99597521947669</v>
      </c>
      <c r="X39">
        <f>+IF(SUMIFS(Data_Long_Form!$D:$D,Data_Long_Form!$C:$C,Data_Pivot_Table!$V39,Data_Long_Form!$A:$A,Data_Pivot_Table!X$4)=0,"",SUMIFS(Data_Long_Form!$D:$D,Data_Long_Form!$C:$C,Data_Pivot_Table!$V39,Data_Long_Form!$A:$A,Data_Pivot_Table!X$4))</f>
        <v>332.33156633937045</v>
      </c>
      <c r="Y39">
        <f>+IF(SUMIFS(Data_Long_Form!$D:$D,Data_Long_Form!$C:$C,Data_Pivot_Table!$V39,Data_Long_Form!$A:$A,Data_Pivot_Table!Y$4)=0,"",SUMIFS(Data_Long_Form!$D:$D,Data_Long_Form!$C:$C,Data_Pivot_Table!$V39,Data_Long_Form!$A:$A,Data_Pivot_Table!Y$4))</f>
        <v>202.97746533509175</v>
      </c>
      <c r="Z39">
        <f>+IF(SUMIFS(Data_Long_Form!$D:$D,Data_Long_Form!$C:$C,Data_Pivot_Table!$V39,Data_Long_Form!$A:$A,Data_Pivot_Table!Z$4)=0,"",SUMIFS(Data_Long_Form!$D:$D,Data_Long_Form!$C:$C,Data_Pivot_Table!$V39,Data_Long_Form!$A:$A,Data_Pivot_Table!Z$4))</f>
        <v>344.94476087659973</v>
      </c>
      <c r="AA39">
        <f>+IF(SUMIFS(Data_Long_Form!$D:$D,Data_Long_Form!$C:$C,Data_Pivot_Table!$V39,Data_Long_Form!$A:$A,Data_Pivot_Table!AA$4)=0,"",SUMIFS(Data_Long_Form!$D:$D,Data_Long_Form!$C:$C,Data_Pivot_Table!$V39,Data_Long_Form!$A:$A,Data_Pivot_Table!AA$4))</f>
        <v>335.5135261365017</v>
      </c>
      <c r="AB39">
        <f>+IF(SUMIFS(Data_Long_Form!$D:$D,Data_Long_Form!$C:$C,Data_Pivot_Table!$V39,Data_Long_Form!$A:$A,Data_Pivot_Table!AB$4)=0,"",SUMIFS(Data_Long_Form!$D:$D,Data_Long_Form!$C:$C,Data_Pivot_Table!$V39,Data_Long_Form!$A:$A,Data_Pivot_Table!AB$4))</f>
        <v>431.31615000663129</v>
      </c>
      <c r="AC39">
        <f>+IF(SUMIFS(Data_Long_Form!$D:$D,Data_Long_Form!$C:$C,Data_Pivot_Table!$V39,Data_Long_Form!$A:$A,Data_Pivot_Table!AC$4)=0,"",SUMIFS(Data_Long_Form!$D:$D,Data_Long_Form!$C:$C,Data_Pivot_Table!$V39,Data_Long_Form!$A:$A,Data_Pivot_Table!AC$4))</f>
        <v>376.86761051547319</v>
      </c>
    </row>
    <row r="40" spans="1:29" x14ac:dyDescent="0.2">
      <c r="A40" s="5">
        <v>0.42006944444444444</v>
      </c>
      <c r="B40" s="4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7</v>
      </c>
      <c r="J40" s="4"/>
      <c r="K40">
        <v>0.42006944444444444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7</v>
      </c>
      <c r="V40" s="8">
        <v>0.42006944444444444</v>
      </c>
      <c r="W40">
        <f>+IF(SUMIFS(Data_Long_Form!$D:$D,Data_Long_Form!$C:$C,Data_Pivot_Table!$V40,Data_Long_Form!$A:$A,Data_Pivot_Table!W$4)=0,"",SUMIFS(Data_Long_Form!$D:$D,Data_Long_Form!$C:$C,Data_Pivot_Table!$V40,Data_Long_Form!$A:$A,Data_Pivot_Table!W$4))</f>
        <v>336.7935571106384</v>
      </c>
      <c r="X40">
        <f>+IF(SUMIFS(Data_Long_Form!$D:$D,Data_Long_Form!$C:$C,Data_Pivot_Table!$V40,Data_Long_Form!$A:$A,Data_Pivot_Table!X$4)=0,"",SUMIFS(Data_Long_Form!$D:$D,Data_Long_Form!$C:$C,Data_Pivot_Table!$V40,Data_Long_Form!$A:$A,Data_Pivot_Table!X$4))</f>
        <v>328.22234972283059</v>
      </c>
      <c r="Y40">
        <f>+IF(SUMIFS(Data_Long_Form!$D:$D,Data_Long_Form!$C:$C,Data_Pivot_Table!$V40,Data_Long_Form!$A:$A,Data_Pivot_Table!Y$4)=0,"",SUMIFS(Data_Long_Form!$D:$D,Data_Long_Form!$C:$C,Data_Pivot_Table!$V40,Data_Long_Form!$A:$A,Data_Pivot_Table!Y$4))</f>
        <v>193.98259018395899</v>
      </c>
      <c r="Z40">
        <f>+IF(SUMIFS(Data_Long_Form!$D:$D,Data_Long_Form!$C:$C,Data_Pivot_Table!$V40,Data_Long_Form!$A:$A,Data_Pivot_Table!Z$4)=0,"",SUMIFS(Data_Long_Form!$D:$D,Data_Long_Form!$C:$C,Data_Pivot_Table!$V40,Data_Long_Form!$A:$A,Data_Pivot_Table!Z$4))</f>
        <v>343.65599700772162</v>
      </c>
      <c r="AA40">
        <f>+IF(SUMIFS(Data_Long_Form!$D:$D,Data_Long_Form!$C:$C,Data_Pivot_Table!$V40,Data_Long_Form!$A:$A,Data_Pivot_Table!AA$4)=0,"",SUMIFS(Data_Long_Form!$D:$D,Data_Long_Form!$C:$C,Data_Pivot_Table!$V40,Data_Long_Form!$A:$A,Data_Pivot_Table!AA$4))</f>
        <v>331.21769469078879</v>
      </c>
      <c r="AB40">
        <f>+IF(SUMIFS(Data_Long_Form!$D:$D,Data_Long_Form!$C:$C,Data_Pivot_Table!$V40,Data_Long_Form!$A:$A,Data_Pivot_Table!AB$4)=0,"",SUMIFS(Data_Long_Form!$D:$D,Data_Long_Form!$C:$C,Data_Pivot_Table!$V40,Data_Long_Form!$A:$A,Data_Pivot_Table!AB$4))</f>
        <v>428.26383534333257</v>
      </c>
      <c r="AC40">
        <f>+IF(SUMIFS(Data_Long_Form!$D:$D,Data_Long_Form!$C:$C,Data_Pivot_Table!$V40,Data_Long_Form!$A:$A,Data_Pivot_Table!AC$4)=0,"",SUMIFS(Data_Long_Form!$D:$D,Data_Long_Form!$C:$C,Data_Pivot_Table!$V40,Data_Long_Form!$A:$A,Data_Pivot_Table!AC$4))</f>
        <v>368.66815483548714</v>
      </c>
    </row>
    <row r="41" spans="1:29" x14ac:dyDescent="0.2">
      <c r="A41" s="5">
        <v>0.42008101851851853</v>
      </c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7</v>
      </c>
      <c r="J41" s="4"/>
      <c r="K41">
        <v>0.42008101851851853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7</v>
      </c>
      <c r="V41" s="8">
        <v>0.42008101851851853</v>
      </c>
      <c r="W41">
        <f>+IF(SUMIFS(Data_Long_Form!$D:$D,Data_Long_Form!$C:$C,Data_Pivot_Table!$V41,Data_Long_Form!$A:$A,Data_Pivot_Table!W$4)=0,"",SUMIFS(Data_Long_Form!$D:$D,Data_Long_Form!$C:$C,Data_Pivot_Table!$V41,Data_Long_Form!$A:$A,Data_Pivot_Table!W$4))</f>
        <v>338.15095891969059</v>
      </c>
      <c r="X41">
        <f>+IF(SUMIFS(Data_Long_Form!$D:$D,Data_Long_Form!$C:$C,Data_Pivot_Table!$V41,Data_Long_Form!$A:$A,Data_Pivot_Table!X$4)=0,"",SUMIFS(Data_Long_Form!$D:$D,Data_Long_Form!$C:$C,Data_Pivot_Table!$V41,Data_Long_Form!$A:$A,Data_Pivot_Table!X$4))</f>
        <v>326.823985755443</v>
      </c>
      <c r="Y41">
        <f>+IF(SUMIFS(Data_Long_Form!$D:$D,Data_Long_Form!$C:$C,Data_Pivot_Table!$V41,Data_Long_Form!$A:$A,Data_Pivot_Table!Y$4)=0,"",SUMIFS(Data_Long_Form!$D:$D,Data_Long_Form!$C:$C,Data_Pivot_Table!$V41,Data_Long_Form!$A:$A,Data_Pivot_Table!Y$4))</f>
        <v>196.56632758422785</v>
      </c>
      <c r="Z41">
        <f>+IF(SUMIFS(Data_Long_Form!$D:$D,Data_Long_Form!$C:$C,Data_Pivot_Table!$V41,Data_Long_Form!$A:$A,Data_Pivot_Table!Z$4)=0,"",SUMIFS(Data_Long_Form!$D:$D,Data_Long_Form!$C:$C,Data_Pivot_Table!$V41,Data_Long_Form!$A:$A,Data_Pivot_Table!Z$4))</f>
        <v>342.07672352519836</v>
      </c>
      <c r="AA41">
        <f>+IF(SUMIFS(Data_Long_Form!$D:$D,Data_Long_Form!$C:$C,Data_Pivot_Table!$V41,Data_Long_Form!$A:$A,Data_Pivot_Table!AA$4)=0,"",SUMIFS(Data_Long_Form!$D:$D,Data_Long_Form!$C:$C,Data_Pivot_Table!$V41,Data_Long_Form!$A:$A,Data_Pivot_Table!AA$4))</f>
        <v>333.88513948708294</v>
      </c>
      <c r="AB41">
        <f>+IF(SUMIFS(Data_Long_Form!$D:$D,Data_Long_Form!$C:$C,Data_Pivot_Table!$V41,Data_Long_Form!$A:$A,Data_Pivot_Table!AB$4)=0,"",SUMIFS(Data_Long_Form!$D:$D,Data_Long_Form!$C:$C,Data_Pivot_Table!$V41,Data_Long_Form!$A:$A,Data_Pivot_Table!AB$4))</f>
        <v>432.1190632367796</v>
      </c>
      <c r="AC41">
        <f>+IF(SUMIFS(Data_Long_Form!$D:$D,Data_Long_Form!$C:$C,Data_Pivot_Table!$V41,Data_Long_Form!$A:$A,Data_Pivot_Table!AC$4)=0,"",SUMIFS(Data_Long_Form!$D:$D,Data_Long_Form!$C:$C,Data_Pivot_Table!$V41,Data_Long_Form!$A:$A,Data_Pivot_Table!AC$4))</f>
        <v>368.72814845042785</v>
      </c>
    </row>
    <row r="42" spans="1:29" x14ac:dyDescent="0.2">
      <c r="A42" s="5">
        <v>0.42009259259259257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7</v>
      </c>
      <c r="J42" s="4"/>
      <c r="K42">
        <v>0.42009259259259257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7</v>
      </c>
      <c r="V42" s="8">
        <v>0.42009259259259257</v>
      </c>
      <c r="W42">
        <f>+IF(SUMIFS(Data_Long_Form!$D:$D,Data_Long_Form!$C:$C,Data_Pivot_Table!$V42,Data_Long_Form!$A:$A,Data_Pivot_Table!W$4)=0,"",SUMIFS(Data_Long_Form!$D:$D,Data_Long_Form!$C:$C,Data_Pivot_Table!$V42,Data_Long_Form!$A:$A,Data_Pivot_Table!W$4))</f>
        <v>349.86495003805254</v>
      </c>
      <c r="X42">
        <f>+IF(SUMIFS(Data_Long_Form!$D:$D,Data_Long_Form!$C:$C,Data_Pivot_Table!$V42,Data_Long_Form!$A:$A,Data_Pivot_Table!X$4)=0,"",SUMIFS(Data_Long_Form!$D:$D,Data_Long_Form!$C:$C,Data_Pivot_Table!$V42,Data_Long_Form!$A:$A,Data_Pivot_Table!X$4))</f>
        <v>336.44039849245968</v>
      </c>
      <c r="Y42">
        <f>+IF(SUMIFS(Data_Long_Form!$D:$D,Data_Long_Form!$C:$C,Data_Pivot_Table!$V42,Data_Long_Form!$A:$A,Data_Pivot_Table!Y$4)=0,"",SUMIFS(Data_Long_Form!$D:$D,Data_Long_Form!$C:$C,Data_Pivot_Table!$V42,Data_Long_Form!$A:$A,Data_Pivot_Table!Y$4))</f>
        <v>214.85257679209403</v>
      </c>
      <c r="Z42">
        <f>+IF(SUMIFS(Data_Long_Form!$D:$D,Data_Long_Form!$C:$C,Data_Pivot_Table!$V42,Data_Long_Form!$A:$A,Data_Pivot_Table!Z$4)=0,"",SUMIFS(Data_Long_Form!$D:$D,Data_Long_Form!$C:$C,Data_Pivot_Table!$V42,Data_Long_Form!$A:$A,Data_Pivot_Table!Z$4))</f>
        <v>351.43271500274761</v>
      </c>
      <c r="AA42">
        <f>+IF(SUMIFS(Data_Long_Form!$D:$D,Data_Long_Form!$C:$C,Data_Pivot_Table!$V42,Data_Long_Form!$A:$A,Data_Pivot_Table!AA$4)=0,"",SUMIFS(Data_Long_Form!$D:$D,Data_Long_Form!$C:$C,Data_Pivot_Table!$V42,Data_Long_Form!$A:$A,Data_Pivot_Table!AA$4))</f>
        <v>350.58841633351068</v>
      </c>
      <c r="AB42">
        <f>+IF(SUMIFS(Data_Long_Form!$D:$D,Data_Long_Form!$C:$C,Data_Pivot_Table!$V42,Data_Long_Form!$A:$A,Data_Pivot_Table!AB$4)=0,"",SUMIFS(Data_Long_Form!$D:$D,Data_Long_Form!$C:$C,Data_Pivot_Table!$V42,Data_Long_Form!$A:$A,Data_Pivot_Table!AB$4))</f>
        <v>454.06271828329579</v>
      </c>
      <c r="AC42">
        <f>+IF(SUMIFS(Data_Long_Form!$D:$D,Data_Long_Form!$C:$C,Data_Pivot_Table!$V42,Data_Long_Form!$A:$A,Data_Pivot_Table!AC$4)=0,"",SUMIFS(Data_Long_Form!$D:$D,Data_Long_Form!$C:$C,Data_Pivot_Table!$V42,Data_Long_Form!$A:$A,Data_Pivot_Table!AC$4))</f>
        <v>421.89438823394181</v>
      </c>
    </row>
    <row r="43" spans="1:29" x14ac:dyDescent="0.2">
      <c r="A43" s="5">
        <v>0.42010416666666667</v>
      </c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7</v>
      </c>
      <c r="J43" s="4"/>
      <c r="K43">
        <v>0.42010416666666667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7</v>
      </c>
      <c r="V43" s="8">
        <v>0.42010416666666667</v>
      </c>
      <c r="W43">
        <f>+IF(SUMIFS(Data_Long_Form!$D:$D,Data_Long_Form!$C:$C,Data_Pivot_Table!$V43,Data_Long_Form!$A:$A,Data_Pivot_Table!W$4)=0,"",SUMIFS(Data_Long_Form!$D:$D,Data_Long_Form!$C:$C,Data_Pivot_Table!$V43,Data_Long_Form!$A:$A,Data_Pivot_Table!W$4))</f>
        <v>349.63506064331665</v>
      </c>
      <c r="X43">
        <f>+IF(SUMIFS(Data_Long_Form!$D:$D,Data_Long_Form!$C:$C,Data_Pivot_Table!$V43,Data_Long_Form!$A:$A,Data_Pivot_Table!X$4)=0,"",SUMIFS(Data_Long_Form!$D:$D,Data_Long_Form!$C:$C,Data_Pivot_Table!$V43,Data_Long_Form!$A:$A,Data_Pivot_Table!X$4))</f>
        <v>334.61819003066745</v>
      </c>
      <c r="Y43">
        <f>+IF(SUMIFS(Data_Long_Form!$D:$D,Data_Long_Form!$C:$C,Data_Pivot_Table!$V43,Data_Long_Form!$A:$A,Data_Pivot_Table!Y$4)=0,"",SUMIFS(Data_Long_Form!$D:$D,Data_Long_Form!$C:$C,Data_Pivot_Table!$V43,Data_Long_Form!$A:$A,Data_Pivot_Table!Y$4))</f>
        <v>208.76445515772286</v>
      </c>
      <c r="Z43">
        <f>+IF(SUMIFS(Data_Long_Form!$D:$D,Data_Long_Form!$C:$C,Data_Pivot_Table!$V43,Data_Long_Form!$A:$A,Data_Pivot_Table!Z$4)=0,"",SUMIFS(Data_Long_Form!$D:$D,Data_Long_Form!$C:$C,Data_Pivot_Table!$V43,Data_Long_Form!$A:$A,Data_Pivot_Table!Z$4))</f>
        <v>348.21796106118637</v>
      </c>
      <c r="AA43">
        <f>+IF(SUMIFS(Data_Long_Form!$D:$D,Data_Long_Form!$C:$C,Data_Pivot_Table!$V43,Data_Long_Form!$A:$A,Data_Pivot_Table!AA$4)=0,"",SUMIFS(Data_Long_Form!$D:$D,Data_Long_Form!$C:$C,Data_Pivot_Table!$V43,Data_Long_Form!$A:$A,Data_Pivot_Table!AA$4))</f>
        <v>338.12760975236552</v>
      </c>
      <c r="AB43">
        <f>+IF(SUMIFS(Data_Long_Form!$D:$D,Data_Long_Form!$C:$C,Data_Pivot_Table!$V43,Data_Long_Form!$A:$A,Data_Pivot_Table!AB$4)=0,"",SUMIFS(Data_Long_Form!$D:$D,Data_Long_Form!$C:$C,Data_Pivot_Table!$V43,Data_Long_Form!$A:$A,Data_Pivot_Table!AB$4))</f>
        <v>440.4345004752293</v>
      </c>
      <c r="AC43">
        <f>+IF(SUMIFS(Data_Long_Form!$D:$D,Data_Long_Form!$C:$C,Data_Pivot_Table!$V43,Data_Long_Form!$A:$A,Data_Pivot_Table!AC$4)=0,"",SUMIFS(Data_Long_Form!$D:$D,Data_Long_Form!$C:$C,Data_Pivot_Table!$V43,Data_Long_Form!$A:$A,Data_Pivot_Table!AC$4))</f>
        <v>377.57905707913807</v>
      </c>
    </row>
    <row r="44" spans="1:29" x14ac:dyDescent="0.2">
      <c r="A44" s="5">
        <v>0.42011574074074076</v>
      </c>
      <c r="B44" s="4">
        <v>1</v>
      </c>
      <c r="C44" s="4">
        <v>1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7</v>
      </c>
      <c r="J44" s="4"/>
      <c r="K44">
        <v>0.42011574074074076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7</v>
      </c>
      <c r="V44" s="8">
        <v>0.42011574074074076</v>
      </c>
      <c r="W44">
        <f>+IF(SUMIFS(Data_Long_Form!$D:$D,Data_Long_Form!$C:$C,Data_Pivot_Table!$V44,Data_Long_Form!$A:$A,Data_Pivot_Table!W$4)=0,"",SUMIFS(Data_Long_Form!$D:$D,Data_Long_Form!$C:$C,Data_Pivot_Table!$V44,Data_Long_Form!$A:$A,Data_Pivot_Table!W$4))</f>
        <v>344.79406780754709</v>
      </c>
      <c r="X44">
        <f>+IF(SUMIFS(Data_Long_Form!$D:$D,Data_Long_Form!$C:$C,Data_Pivot_Table!$V44,Data_Long_Form!$A:$A,Data_Pivot_Table!X$4)=0,"",SUMIFS(Data_Long_Form!$D:$D,Data_Long_Form!$C:$C,Data_Pivot_Table!$V44,Data_Long_Form!$A:$A,Data_Pivot_Table!X$4))</f>
        <v>329.87224021709051</v>
      </c>
      <c r="Y44">
        <f>+IF(SUMIFS(Data_Long_Form!$D:$D,Data_Long_Form!$C:$C,Data_Pivot_Table!$V44,Data_Long_Form!$A:$A,Data_Pivot_Table!Y$4)=0,"",SUMIFS(Data_Long_Form!$D:$D,Data_Long_Form!$C:$C,Data_Pivot_Table!$V44,Data_Long_Form!$A:$A,Data_Pivot_Table!Y$4))</f>
        <v>204.02018690356792</v>
      </c>
      <c r="Z44">
        <f>+IF(SUMIFS(Data_Long_Form!$D:$D,Data_Long_Form!$C:$C,Data_Pivot_Table!$V44,Data_Long_Form!$A:$A,Data_Pivot_Table!Z$4)=0,"",SUMIFS(Data_Long_Form!$D:$D,Data_Long_Form!$C:$C,Data_Pivot_Table!$V44,Data_Long_Form!$A:$A,Data_Pivot_Table!Z$4))</f>
        <v>343.83586471507766</v>
      </c>
      <c r="AA44">
        <f>+IF(SUMIFS(Data_Long_Form!$D:$D,Data_Long_Form!$C:$C,Data_Pivot_Table!$V44,Data_Long_Form!$A:$A,Data_Pivot_Table!AA$4)=0,"",SUMIFS(Data_Long_Form!$D:$D,Data_Long_Form!$C:$C,Data_Pivot_Table!$V44,Data_Long_Form!$A:$A,Data_Pivot_Table!AA$4))</f>
        <v>330.24873595894127</v>
      </c>
      <c r="AB44">
        <f>+IF(SUMIFS(Data_Long_Form!$D:$D,Data_Long_Form!$C:$C,Data_Pivot_Table!$V44,Data_Long_Form!$A:$A,Data_Pivot_Table!AB$4)=0,"",SUMIFS(Data_Long_Form!$D:$D,Data_Long_Form!$C:$C,Data_Pivot_Table!$V44,Data_Long_Form!$A:$A,Data_Pivot_Table!AB$4))</f>
        <v>440.21772840851185</v>
      </c>
      <c r="AC44">
        <f>+IF(SUMIFS(Data_Long_Form!$D:$D,Data_Long_Form!$C:$C,Data_Pivot_Table!$V44,Data_Long_Form!$A:$A,Data_Pivot_Table!AC$4)=0,"",SUMIFS(Data_Long_Form!$D:$D,Data_Long_Form!$C:$C,Data_Pivot_Table!$V44,Data_Long_Form!$A:$A,Data_Pivot_Table!AC$4))</f>
        <v>360.97530439069374</v>
      </c>
    </row>
    <row r="45" spans="1:29" x14ac:dyDescent="0.2">
      <c r="A45" s="5">
        <v>0.4201273148148148</v>
      </c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7</v>
      </c>
      <c r="J45" s="4"/>
      <c r="K45">
        <v>0.4201273148148148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7</v>
      </c>
      <c r="V45" s="8">
        <v>0.4201273148148148</v>
      </c>
      <c r="W45">
        <f>+IF(SUMIFS(Data_Long_Form!$D:$D,Data_Long_Form!$C:$C,Data_Pivot_Table!$V45,Data_Long_Form!$A:$A,Data_Pivot_Table!W$4)=0,"",SUMIFS(Data_Long_Form!$D:$D,Data_Long_Form!$C:$C,Data_Pivot_Table!$V45,Data_Long_Form!$A:$A,Data_Pivot_Table!W$4))</f>
        <v>342.73149302214631</v>
      </c>
      <c r="X45">
        <f>+IF(SUMIFS(Data_Long_Form!$D:$D,Data_Long_Form!$C:$C,Data_Pivot_Table!$V45,Data_Long_Form!$A:$A,Data_Pivot_Table!X$4)=0,"",SUMIFS(Data_Long_Form!$D:$D,Data_Long_Form!$C:$C,Data_Pivot_Table!$V45,Data_Long_Form!$A:$A,Data_Pivot_Table!X$4))</f>
        <v>330.55963503585582</v>
      </c>
      <c r="Y45">
        <f>+IF(SUMIFS(Data_Long_Form!$D:$D,Data_Long_Form!$C:$C,Data_Pivot_Table!$V45,Data_Long_Form!$A:$A,Data_Pivot_Table!Y$4)=0,"",SUMIFS(Data_Long_Form!$D:$D,Data_Long_Form!$C:$C,Data_Pivot_Table!$V45,Data_Long_Form!$A:$A,Data_Pivot_Table!Y$4))</f>
        <v>202.14760582221436</v>
      </c>
      <c r="Z45">
        <f>+IF(SUMIFS(Data_Long_Form!$D:$D,Data_Long_Form!$C:$C,Data_Pivot_Table!$V45,Data_Long_Form!$A:$A,Data_Pivot_Table!Z$4)=0,"",SUMIFS(Data_Long_Form!$D:$D,Data_Long_Form!$C:$C,Data_Pivot_Table!$V45,Data_Long_Form!$A:$A,Data_Pivot_Table!Z$4))</f>
        <v>345.79747300962003</v>
      </c>
      <c r="AA45">
        <f>+IF(SUMIFS(Data_Long_Form!$D:$D,Data_Long_Form!$C:$C,Data_Pivot_Table!$V45,Data_Long_Form!$A:$A,Data_Pivot_Table!AA$4)=0,"",SUMIFS(Data_Long_Form!$D:$D,Data_Long_Form!$C:$C,Data_Pivot_Table!$V45,Data_Long_Form!$A:$A,Data_Pivot_Table!AA$4))</f>
        <v>332.12783883172574</v>
      </c>
      <c r="AB45">
        <f>+IF(SUMIFS(Data_Long_Form!$D:$D,Data_Long_Form!$C:$C,Data_Pivot_Table!$V45,Data_Long_Form!$A:$A,Data_Pivot_Table!AB$4)=0,"",SUMIFS(Data_Long_Form!$D:$D,Data_Long_Form!$C:$C,Data_Pivot_Table!$V45,Data_Long_Form!$A:$A,Data_Pivot_Table!AB$4))</f>
        <v>443.00587499560663</v>
      </c>
      <c r="AC45">
        <f>+IF(SUMIFS(Data_Long_Form!$D:$D,Data_Long_Form!$C:$C,Data_Pivot_Table!$V45,Data_Long_Form!$A:$A,Data_Pivot_Table!AC$4)=0,"",SUMIFS(Data_Long_Form!$D:$D,Data_Long_Form!$C:$C,Data_Pivot_Table!$V45,Data_Long_Form!$A:$A,Data_Pivot_Table!AC$4))</f>
        <v>353.67612025525472</v>
      </c>
    </row>
    <row r="46" spans="1:29" x14ac:dyDescent="0.2">
      <c r="A46" s="5">
        <v>0.4201388888888889</v>
      </c>
      <c r="B46" s="4">
        <v>1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7</v>
      </c>
      <c r="J46" s="4"/>
      <c r="K46">
        <v>0.4201388888888889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7</v>
      </c>
      <c r="V46" s="8">
        <v>0.4201388888888889</v>
      </c>
      <c r="W46">
        <f>+IF(SUMIFS(Data_Long_Form!$D:$D,Data_Long_Form!$C:$C,Data_Pivot_Table!$V46,Data_Long_Form!$A:$A,Data_Pivot_Table!W$4)=0,"",SUMIFS(Data_Long_Form!$D:$D,Data_Long_Form!$C:$C,Data_Pivot_Table!$V46,Data_Long_Form!$A:$A,Data_Pivot_Table!W$4))</f>
        <v>345.67783016686707</v>
      </c>
      <c r="X46">
        <f>+IF(SUMIFS(Data_Long_Form!$D:$D,Data_Long_Form!$C:$C,Data_Pivot_Table!$V46,Data_Long_Form!$A:$A,Data_Pivot_Table!X$4)=0,"",SUMIFS(Data_Long_Form!$D:$D,Data_Long_Form!$C:$C,Data_Pivot_Table!$V46,Data_Long_Form!$A:$A,Data_Pivot_Table!X$4))</f>
        <v>333.78767229786047</v>
      </c>
      <c r="Y46">
        <f>+IF(SUMIFS(Data_Long_Form!$D:$D,Data_Long_Form!$C:$C,Data_Pivot_Table!$V46,Data_Long_Form!$A:$A,Data_Pivot_Table!Y$4)=0,"",SUMIFS(Data_Long_Form!$D:$D,Data_Long_Form!$C:$C,Data_Pivot_Table!$V46,Data_Long_Form!$A:$A,Data_Pivot_Table!Y$4))</f>
        <v>206.92093293898009</v>
      </c>
      <c r="Z46">
        <f>+IF(SUMIFS(Data_Long_Form!$D:$D,Data_Long_Form!$C:$C,Data_Pivot_Table!$V46,Data_Long_Form!$A:$A,Data_Pivot_Table!Z$4)=0,"",SUMIFS(Data_Long_Form!$D:$D,Data_Long_Form!$C:$C,Data_Pivot_Table!$V46,Data_Long_Form!$A:$A,Data_Pivot_Table!Z$4))</f>
        <v>351.54471157181342</v>
      </c>
      <c r="AA46">
        <f>+IF(SUMIFS(Data_Long_Form!$D:$D,Data_Long_Form!$C:$C,Data_Pivot_Table!$V46,Data_Long_Form!$A:$A,Data_Pivot_Table!AA$4)=0,"",SUMIFS(Data_Long_Form!$D:$D,Data_Long_Form!$C:$C,Data_Pivot_Table!$V46,Data_Long_Form!$A:$A,Data_Pivot_Table!AA$4))</f>
        <v>337.50347913481392</v>
      </c>
      <c r="AB46">
        <f>+IF(SUMIFS(Data_Long_Form!$D:$D,Data_Long_Form!$C:$C,Data_Pivot_Table!$V46,Data_Long_Form!$A:$A,Data_Pivot_Table!AB$4)=0,"",SUMIFS(Data_Long_Form!$D:$D,Data_Long_Form!$C:$C,Data_Pivot_Table!$V46,Data_Long_Form!$A:$A,Data_Pivot_Table!AB$4))</f>
        <v>449.90824731000265</v>
      </c>
      <c r="AC46">
        <f>+IF(SUMIFS(Data_Long_Form!$D:$D,Data_Long_Form!$C:$C,Data_Pivot_Table!$V46,Data_Long_Form!$A:$A,Data_Pivot_Table!AC$4)=0,"",SUMIFS(Data_Long_Form!$D:$D,Data_Long_Form!$C:$C,Data_Pivot_Table!$V46,Data_Long_Form!$A:$A,Data_Pivot_Table!AC$4))</f>
        <v>356.20663218204913</v>
      </c>
    </row>
    <row r="47" spans="1:29" x14ac:dyDescent="0.2">
      <c r="A47" s="5">
        <v>0.42015046296296299</v>
      </c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7</v>
      </c>
      <c r="J47" s="4"/>
      <c r="K47">
        <v>0.42015046296296299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7</v>
      </c>
      <c r="V47" s="8">
        <v>0.42015046296296299</v>
      </c>
      <c r="W47">
        <f>+IF(SUMIFS(Data_Long_Form!$D:$D,Data_Long_Form!$C:$C,Data_Pivot_Table!$V47,Data_Long_Form!$A:$A,Data_Pivot_Table!W$4)=0,"",SUMIFS(Data_Long_Form!$D:$D,Data_Long_Form!$C:$C,Data_Pivot_Table!$V47,Data_Long_Form!$A:$A,Data_Pivot_Table!W$4))</f>
        <v>341.58313215117403</v>
      </c>
      <c r="X47">
        <f>+IF(SUMIFS(Data_Long_Form!$D:$D,Data_Long_Form!$C:$C,Data_Pivot_Table!$V47,Data_Long_Form!$A:$A,Data_Pivot_Table!X$4)=0,"",SUMIFS(Data_Long_Form!$D:$D,Data_Long_Form!$C:$C,Data_Pivot_Table!$V47,Data_Long_Form!$A:$A,Data_Pivot_Table!X$4))</f>
        <v>331.60905319151607</v>
      </c>
      <c r="Y47">
        <f>+IF(SUMIFS(Data_Long_Form!$D:$D,Data_Long_Form!$C:$C,Data_Pivot_Table!$V47,Data_Long_Form!$A:$A,Data_Pivot_Table!Y$4)=0,"",SUMIFS(Data_Long_Form!$D:$D,Data_Long_Form!$C:$C,Data_Pivot_Table!$V47,Data_Long_Form!$A:$A,Data_Pivot_Table!Y$4))</f>
        <v>205.5384101736914</v>
      </c>
      <c r="Z47">
        <f>+IF(SUMIFS(Data_Long_Form!$D:$D,Data_Long_Form!$C:$C,Data_Pivot_Table!$V47,Data_Long_Form!$A:$A,Data_Pivot_Table!Z$4)=0,"",SUMIFS(Data_Long_Form!$D:$D,Data_Long_Form!$C:$C,Data_Pivot_Table!$V47,Data_Long_Form!$A:$A,Data_Pivot_Table!Z$4))</f>
        <v>344.50480056396134</v>
      </c>
      <c r="AA47">
        <f>+IF(SUMIFS(Data_Long_Form!$D:$D,Data_Long_Form!$C:$C,Data_Pivot_Table!$V47,Data_Long_Form!$A:$A,Data_Pivot_Table!AA$4)=0,"",SUMIFS(Data_Long_Form!$D:$D,Data_Long_Form!$C:$C,Data_Pivot_Table!$V47,Data_Long_Form!$A:$A,Data_Pivot_Table!AA$4))</f>
        <v>331.14923337799098</v>
      </c>
      <c r="AB47">
        <f>+IF(SUMIFS(Data_Long_Form!$D:$D,Data_Long_Form!$C:$C,Data_Pivot_Table!$V47,Data_Long_Form!$A:$A,Data_Pivot_Table!AB$4)=0,"",SUMIFS(Data_Long_Form!$D:$D,Data_Long_Form!$C:$C,Data_Pivot_Table!$V47,Data_Long_Form!$A:$A,Data_Pivot_Table!AB$4))</f>
        <v>447.17681208959715</v>
      </c>
      <c r="AC47">
        <f>+IF(SUMIFS(Data_Long_Form!$D:$D,Data_Long_Form!$C:$C,Data_Pivot_Table!$V47,Data_Long_Form!$A:$A,Data_Pivot_Table!AC$4)=0,"",SUMIFS(Data_Long_Form!$D:$D,Data_Long_Form!$C:$C,Data_Pivot_Table!$V47,Data_Long_Form!$A:$A,Data_Pivot_Table!AC$4))</f>
        <v>361.57409946129951</v>
      </c>
    </row>
    <row r="48" spans="1:29" x14ac:dyDescent="0.2">
      <c r="A48" s="5">
        <v>0.42119212962962965</v>
      </c>
      <c r="B48" s="4">
        <v>1</v>
      </c>
      <c r="C48" s="4"/>
      <c r="D48" s="4">
        <v>1</v>
      </c>
      <c r="E48" s="4"/>
      <c r="F48" s="4">
        <v>1</v>
      </c>
      <c r="G48" s="4">
        <v>1</v>
      </c>
      <c r="H48" s="4">
        <v>1</v>
      </c>
      <c r="I48" s="4">
        <v>5</v>
      </c>
      <c r="J48" s="4"/>
      <c r="K48">
        <v>0.42119212962962965</v>
      </c>
      <c r="L48">
        <v>1</v>
      </c>
      <c r="M48">
        <v>1</v>
      </c>
      <c r="N48">
        <v>1</v>
      </c>
      <c r="O48">
        <v>1</v>
      </c>
      <c r="Q48">
        <v>1</v>
      </c>
      <c r="S48">
        <v>5</v>
      </c>
      <c r="V48" s="8">
        <v>0.42119212962962965</v>
      </c>
      <c r="W48">
        <f>+IF(SUMIFS(Data_Long_Form!$D:$D,Data_Long_Form!$C:$C,Data_Pivot_Table!$V48,Data_Long_Form!$A:$A,Data_Pivot_Table!W$4)=0,"",SUMIFS(Data_Long_Form!$D:$D,Data_Long_Form!$C:$C,Data_Pivot_Table!$V48,Data_Long_Form!$A:$A,Data_Pivot_Table!W$4))</f>
        <v>385.23092434292647</v>
      </c>
      <c r="X48">
        <f>+IF(SUMIFS(Data_Long_Form!$D:$D,Data_Long_Form!$C:$C,Data_Pivot_Table!$V48,Data_Long_Form!$A:$A,Data_Pivot_Table!X$4)=0,"",SUMIFS(Data_Long_Form!$D:$D,Data_Long_Form!$C:$C,Data_Pivot_Table!$V48,Data_Long_Form!$A:$A,Data_Pivot_Table!X$4))</f>
        <v>430.40595118666266</v>
      </c>
      <c r="Y48">
        <f>+IF(SUMIFS(Data_Long_Form!$D:$D,Data_Long_Form!$C:$C,Data_Pivot_Table!$V48,Data_Long_Form!$A:$A,Data_Pivot_Table!Y$4)=0,"",SUMIFS(Data_Long_Form!$D:$D,Data_Long_Form!$C:$C,Data_Pivot_Table!$V48,Data_Long_Form!$A:$A,Data_Pivot_Table!Y$4))</f>
        <v>265.535634316916</v>
      </c>
      <c r="Z48">
        <f>+IF(SUMIFS(Data_Long_Form!$D:$D,Data_Long_Form!$C:$C,Data_Pivot_Table!$V48,Data_Long_Form!$A:$A,Data_Pivot_Table!Z$4)=0,"",SUMIFS(Data_Long_Form!$D:$D,Data_Long_Form!$C:$C,Data_Pivot_Table!$V48,Data_Long_Form!$A:$A,Data_Pivot_Table!Z$4))</f>
        <v>542.67656693957974</v>
      </c>
      <c r="AA48" t="str">
        <f>+IF(SUMIFS(Data_Long_Form!$D:$D,Data_Long_Form!$C:$C,Data_Pivot_Table!$V48,Data_Long_Form!$A:$A,Data_Pivot_Table!AA$4)=0,"",SUMIFS(Data_Long_Form!$D:$D,Data_Long_Form!$C:$C,Data_Pivot_Table!$V48,Data_Long_Form!$A:$A,Data_Pivot_Table!AA$4))</f>
        <v/>
      </c>
      <c r="AB48">
        <f>+IF(SUMIFS(Data_Long_Form!$D:$D,Data_Long_Form!$C:$C,Data_Pivot_Table!$V48,Data_Long_Form!$A:$A,Data_Pivot_Table!AB$4)=0,"",SUMIFS(Data_Long_Form!$D:$D,Data_Long_Form!$C:$C,Data_Pivot_Table!$V48,Data_Long_Form!$A:$A,Data_Pivot_Table!AB$4))</f>
        <v>522.15220581781659</v>
      </c>
      <c r="AC48" t="str">
        <f>+IF(SUMIFS(Data_Long_Form!$D:$D,Data_Long_Form!$C:$C,Data_Pivot_Table!$V48,Data_Long_Form!$A:$A,Data_Pivot_Table!AC$4)=0,"",SUMIFS(Data_Long_Form!$D:$D,Data_Long_Form!$C:$C,Data_Pivot_Table!$V48,Data_Long_Form!$A:$A,Data_Pivot_Table!AC$4))</f>
        <v/>
      </c>
    </row>
    <row r="49" spans="1:29" x14ac:dyDescent="0.2">
      <c r="A49" s="5">
        <v>0.42120370370370369</v>
      </c>
      <c r="B49" s="4">
        <v>1</v>
      </c>
      <c r="C49" s="4"/>
      <c r="D49" s="4">
        <v>1</v>
      </c>
      <c r="E49" s="4"/>
      <c r="F49" s="4"/>
      <c r="G49" s="4">
        <v>1</v>
      </c>
      <c r="H49" s="4">
        <v>1</v>
      </c>
      <c r="I49" s="4">
        <v>4</v>
      </c>
      <c r="J49" s="4"/>
      <c r="K49">
        <v>0.42120370370370369</v>
      </c>
      <c r="M49">
        <v>1</v>
      </c>
      <c r="N49">
        <v>1</v>
      </c>
      <c r="O49">
        <v>1</v>
      </c>
      <c r="Q49">
        <v>1</v>
      </c>
      <c r="S49">
        <v>4</v>
      </c>
      <c r="V49" s="8">
        <v>0.42120370370370369</v>
      </c>
      <c r="W49" t="str">
        <f>+IF(SUMIFS(Data_Long_Form!$D:$D,Data_Long_Form!$C:$C,Data_Pivot_Table!$V49,Data_Long_Form!$A:$A,Data_Pivot_Table!W$4)=0,"",SUMIFS(Data_Long_Form!$D:$D,Data_Long_Form!$C:$C,Data_Pivot_Table!$V49,Data_Long_Form!$A:$A,Data_Pivot_Table!W$4))</f>
        <v/>
      </c>
      <c r="X49">
        <f>+IF(SUMIFS(Data_Long_Form!$D:$D,Data_Long_Form!$C:$C,Data_Pivot_Table!$V49,Data_Long_Form!$A:$A,Data_Pivot_Table!X$4)=0,"",SUMIFS(Data_Long_Form!$D:$D,Data_Long_Form!$C:$C,Data_Pivot_Table!$V49,Data_Long_Form!$A:$A,Data_Pivot_Table!X$4))</f>
        <v>428.73935919932217</v>
      </c>
      <c r="Y49">
        <f>+IF(SUMIFS(Data_Long_Form!$D:$D,Data_Long_Form!$C:$C,Data_Pivot_Table!$V49,Data_Long_Form!$A:$A,Data_Pivot_Table!Y$4)=0,"",SUMIFS(Data_Long_Form!$D:$D,Data_Long_Form!$C:$C,Data_Pivot_Table!$V49,Data_Long_Form!$A:$A,Data_Pivot_Table!Y$4))</f>
        <v>269.37125199986747</v>
      </c>
      <c r="Z49">
        <f>+IF(SUMIFS(Data_Long_Form!$D:$D,Data_Long_Form!$C:$C,Data_Pivot_Table!$V49,Data_Long_Form!$A:$A,Data_Pivot_Table!Z$4)=0,"",SUMIFS(Data_Long_Form!$D:$D,Data_Long_Form!$C:$C,Data_Pivot_Table!$V49,Data_Long_Form!$A:$A,Data_Pivot_Table!Z$4))</f>
        <v>515.92798616092637</v>
      </c>
      <c r="AA49" t="str">
        <f>+IF(SUMIFS(Data_Long_Form!$D:$D,Data_Long_Form!$C:$C,Data_Pivot_Table!$V49,Data_Long_Form!$A:$A,Data_Pivot_Table!AA$4)=0,"",SUMIFS(Data_Long_Form!$D:$D,Data_Long_Form!$C:$C,Data_Pivot_Table!$V49,Data_Long_Form!$A:$A,Data_Pivot_Table!AA$4))</f>
        <v/>
      </c>
      <c r="AB49">
        <f>+IF(SUMIFS(Data_Long_Form!$D:$D,Data_Long_Form!$C:$C,Data_Pivot_Table!$V49,Data_Long_Form!$A:$A,Data_Pivot_Table!AB$4)=0,"",SUMIFS(Data_Long_Form!$D:$D,Data_Long_Form!$C:$C,Data_Pivot_Table!$V49,Data_Long_Form!$A:$A,Data_Pivot_Table!AB$4))</f>
        <v>529.34885836114347</v>
      </c>
      <c r="AC49" t="str">
        <f>+IF(SUMIFS(Data_Long_Form!$D:$D,Data_Long_Form!$C:$C,Data_Pivot_Table!$V49,Data_Long_Form!$A:$A,Data_Pivot_Table!AC$4)=0,"",SUMIFS(Data_Long_Form!$D:$D,Data_Long_Form!$C:$C,Data_Pivot_Table!$V49,Data_Long_Form!$A:$A,Data_Pivot_Table!AC$4))</f>
        <v/>
      </c>
    </row>
    <row r="50" spans="1:29" x14ac:dyDescent="0.2">
      <c r="A50" s="5">
        <v>0.42121527777777779</v>
      </c>
      <c r="B50" s="4">
        <v>1</v>
      </c>
      <c r="C50" s="4"/>
      <c r="D50" s="4">
        <v>1</v>
      </c>
      <c r="E50" s="4"/>
      <c r="F50" s="4"/>
      <c r="G50" s="4">
        <v>1</v>
      </c>
      <c r="H50" s="4"/>
      <c r="I50" s="4">
        <v>3</v>
      </c>
      <c r="J50" s="4"/>
      <c r="K50">
        <v>0.42121527777777779</v>
      </c>
      <c r="M50">
        <v>1</v>
      </c>
      <c r="O50">
        <v>1</v>
      </c>
      <c r="Q50">
        <v>1</v>
      </c>
      <c r="S50">
        <v>3</v>
      </c>
      <c r="V50" s="8">
        <v>0.42121527777777779</v>
      </c>
      <c r="W50" t="str">
        <f>+IF(SUMIFS(Data_Long_Form!$D:$D,Data_Long_Form!$C:$C,Data_Pivot_Table!$V50,Data_Long_Form!$A:$A,Data_Pivot_Table!W$4)=0,"",SUMIFS(Data_Long_Form!$D:$D,Data_Long_Form!$C:$C,Data_Pivot_Table!$V50,Data_Long_Form!$A:$A,Data_Pivot_Table!W$4))</f>
        <v/>
      </c>
      <c r="X50">
        <f>+IF(SUMIFS(Data_Long_Form!$D:$D,Data_Long_Form!$C:$C,Data_Pivot_Table!$V50,Data_Long_Form!$A:$A,Data_Pivot_Table!X$4)=0,"",SUMIFS(Data_Long_Form!$D:$D,Data_Long_Form!$C:$C,Data_Pivot_Table!$V50,Data_Long_Form!$A:$A,Data_Pivot_Table!X$4))</f>
        <v>435.97460077119001</v>
      </c>
      <c r="Y50" t="str">
        <f>+IF(SUMIFS(Data_Long_Form!$D:$D,Data_Long_Form!$C:$C,Data_Pivot_Table!$V50,Data_Long_Form!$A:$A,Data_Pivot_Table!Y$4)=0,"",SUMIFS(Data_Long_Form!$D:$D,Data_Long_Form!$C:$C,Data_Pivot_Table!$V50,Data_Long_Form!$A:$A,Data_Pivot_Table!Y$4))</f>
        <v/>
      </c>
      <c r="Z50">
        <f>+IF(SUMIFS(Data_Long_Form!$D:$D,Data_Long_Form!$C:$C,Data_Pivot_Table!$V50,Data_Long_Form!$A:$A,Data_Pivot_Table!Z$4)=0,"",SUMIFS(Data_Long_Form!$D:$D,Data_Long_Form!$C:$C,Data_Pivot_Table!$V50,Data_Long_Form!$A:$A,Data_Pivot_Table!Z$4))</f>
        <v>525.101338690803</v>
      </c>
      <c r="AA50" t="str">
        <f>+IF(SUMIFS(Data_Long_Form!$D:$D,Data_Long_Form!$C:$C,Data_Pivot_Table!$V50,Data_Long_Form!$A:$A,Data_Pivot_Table!AA$4)=0,"",SUMIFS(Data_Long_Form!$D:$D,Data_Long_Form!$C:$C,Data_Pivot_Table!$V50,Data_Long_Form!$A:$A,Data_Pivot_Table!AA$4))</f>
        <v/>
      </c>
      <c r="AB50">
        <f>+IF(SUMIFS(Data_Long_Form!$D:$D,Data_Long_Form!$C:$C,Data_Pivot_Table!$V50,Data_Long_Form!$A:$A,Data_Pivot_Table!AB$4)=0,"",SUMIFS(Data_Long_Form!$D:$D,Data_Long_Form!$C:$C,Data_Pivot_Table!$V50,Data_Long_Form!$A:$A,Data_Pivot_Table!AB$4))</f>
        <v>545.12853772162532</v>
      </c>
      <c r="AC50" t="str">
        <f>+IF(SUMIFS(Data_Long_Form!$D:$D,Data_Long_Form!$C:$C,Data_Pivot_Table!$V50,Data_Long_Form!$A:$A,Data_Pivot_Table!AC$4)=0,"",SUMIFS(Data_Long_Form!$D:$D,Data_Long_Form!$C:$C,Data_Pivot_Table!$V50,Data_Long_Form!$A:$A,Data_Pivot_Table!AC$4))</f>
        <v/>
      </c>
    </row>
    <row r="51" spans="1:29" x14ac:dyDescent="0.2">
      <c r="A51" s="5">
        <v>0.42122685185185182</v>
      </c>
      <c r="B51" s="4">
        <v>1</v>
      </c>
      <c r="C51" s="4"/>
      <c r="D51" s="4"/>
      <c r="E51" s="4">
        <v>1</v>
      </c>
      <c r="F51" s="4"/>
      <c r="G51" s="4">
        <v>1</v>
      </c>
      <c r="H51" s="4"/>
      <c r="I51" s="4">
        <v>3</v>
      </c>
      <c r="J51" s="4"/>
      <c r="K51">
        <v>0.42122685185185182</v>
      </c>
      <c r="M51">
        <v>1</v>
      </c>
      <c r="O51">
        <v>1</v>
      </c>
      <c r="R51">
        <v>1</v>
      </c>
      <c r="S51">
        <v>3</v>
      </c>
      <c r="V51" s="8">
        <v>0.42122685185185182</v>
      </c>
      <c r="W51" t="str">
        <f>+IF(SUMIFS(Data_Long_Form!$D:$D,Data_Long_Form!$C:$C,Data_Pivot_Table!$V51,Data_Long_Form!$A:$A,Data_Pivot_Table!W$4)=0,"",SUMIFS(Data_Long_Form!$D:$D,Data_Long_Form!$C:$C,Data_Pivot_Table!$V51,Data_Long_Form!$A:$A,Data_Pivot_Table!W$4))</f>
        <v/>
      </c>
      <c r="X51">
        <f>+IF(SUMIFS(Data_Long_Form!$D:$D,Data_Long_Form!$C:$C,Data_Pivot_Table!$V51,Data_Long_Form!$A:$A,Data_Pivot_Table!X$4)=0,"",SUMIFS(Data_Long_Form!$D:$D,Data_Long_Form!$C:$C,Data_Pivot_Table!$V51,Data_Long_Form!$A:$A,Data_Pivot_Table!X$4))</f>
        <v>435.68445740394884</v>
      </c>
      <c r="Y51" t="str">
        <f>+IF(SUMIFS(Data_Long_Form!$D:$D,Data_Long_Form!$C:$C,Data_Pivot_Table!$V51,Data_Long_Form!$A:$A,Data_Pivot_Table!Y$4)=0,"",SUMIFS(Data_Long_Form!$D:$D,Data_Long_Form!$C:$C,Data_Pivot_Table!$V51,Data_Long_Form!$A:$A,Data_Pivot_Table!Y$4))</f>
        <v/>
      </c>
      <c r="Z51">
        <f>+IF(SUMIFS(Data_Long_Form!$D:$D,Data_Long_Form!$C:$C,Data_Pivot_Table!$V51,Data_Long_Form!$A:$A,Data_Pivot_Table!Z$4)=0,"",SUMIFS(Data_Long_Form!$D:$D,Data_Long_Form!$C:$C,Data_Pivot_Table!$V51,Data_Long_Form!$A:$A,Data_Pivot_Table!Z$4))</f>
        <v>553.9629198707554</v>
      </c>
      <c r="AA51" t="str">
        <f>+IF(SUMIFS(Data_Long_Form!$D:$D,Data_Long_Form!$C:$C,Data_Pivot_Table!$V51,Data_Long_Form!$A:$A,Data_Pivot_Table!AA$4)=0,"",SUMIFS(Data_Long_Form!$D:$D,Data_Long_Form!$C:$C,Data_Pivot_Table!$V51,Data_Long_Form!$A:$A,Data_Pivot_Table!AA$4))</f>
        <v/>
      </c>
      <c r="AB51" t="str">
        <f>+IF(SUMIFS(Data_Long_Form!$D:$D,Data_Long_Form!$C:$C,Data_Pivot_Table!$V51,Data_Long_Form!$A:$A,Data_Pivot_Table!AB$4)=0,"",SUMIFS(Data_Long_Form!$D:$D,Data_Long_Form!$C:$C,Data_Pivot_Table!$V51,Data_Long_Form!$A:$A,Data_Pivot_Table!AB$4))</f>
        <v/>
      </c>
      <c r="AC51">
        <f>+IF(SUMIFS(Data_Long_Form!$D:$D,Data_Long_Form!$C:$C,Data_Pivot_Table!$V51,Data_Long_Form!$A:$A,Data_Pivot_Table!AC$4)=0,"",SUMIFS(Data_Long_Form!$D:$D,Data_Long_Form!$C:$C,Data_Pivot_Table!$V51,Data_Long_Form!$A:$A,Data_Pivot_Table!AC$4))</f>
        <v>322.00829146701511</v>
      </c>
    </row>
    <row r="52" spans="1:29" x14ac:dyDescent="0.2">
      <c r="A52" s="5">
        <v>0.42123842592592592</v>
      </c>
      <c r="B52" s="4">
        <v>1</v>
      </c>
      <c r="C52" s="4"/>
      <c r="D52" s="4">
        <v>1</v>
      </c>
      <c r="E52" s="4"/>
      <c r="F52" s="4"/>
      <c r="G52" s="4">
        <v>1</v>
      </c>
      <c r="H52" s="4">
        <v>1</v>
      </c>
      <c r="I52" s="4">
        <v>4</v>
      </c>
      <c r="J52" s="4"/>
      <c r="K52">
        <v>0.42123842592592592</v>
      </c>
      <c r="M52">
        <v>1</v>
      </c>
      <c r="N52">
        <v>1</v>
      </c>
      <c r="O52">
        <v>1</v>
      </c>
      <c r="Q52">
        <v>1</v>
      </c>
      <c r="S52">
        <v>4</v>
      </c>
      <c r="V52" s="8">
        <v>0.42123842592592592</v>
      </c>
      <c r="W52" t="str">
        <f>+IF(SUMIFS(Data_Long_Form!$D:$D,Data_Long_Form!$C:$C,Data_Pivot_Table!$V52,Data_Long_Form!$A:$A,Data_Pivot_Table!W$4)=0,"",SUMIFS(Data_Long_Form!$D:$D,Data_Long_Form!$C:$C,Data_Pivot_Table!$V52,Data_Long_Form!$A:$A,Data_Pivot_Table!W$4))</f>
        <v/>
      </c>
      <c r="X52">
        <f>+IF(SUMIFS(Data_Long_Form!$D:$D,Data_Long_Form!$C:$C,Data_Pivot_Table!$V52,Data_Long_Form!$A:$A,Data_Pivot_Table!X$4)=0,"",SUMIFS(Data_Long_Form!$D:$D,Data_Long_Form!$C:$C,Data_Pivot_Table!$V52,Data_Long_Form!$A:$A,Data_Pivot_Table!X$4))</f>
        <v>436.9535299374889</v>
      </c>
      <c r="Y52">
        <f>+IF(SUMIFS(Data_Long_Form!$D:$D,Data_Long_Form!$C:$C,Data_Pivot_Table!$V52,Data_Long_Form!$A:$A,Data_Pivot_Table!Y$4)=0,"",SUMIFS(Data_Long_Form!$D:$D,Data_Long_Form!$C:$C,Data_Pivot_Table!$V52,Data_Long_Form!$A:$A,Data_Pivot_Table!Y$4))</f>
        <v>236.0134555971066</v>
      </c>
      <c r="Z52">
        <f>+IF(SUMIFS(Data_Long_Form!$D:$D,Data_Long_Form!$C:$C,Data_Pivot_Table!$V52,Data_Long_Form!$A:$A,Data_Pivot_Table!Z$4)=0,"",SUMIFS(Data_Long_Form!$D:$D,Data_Long_Form!$C:$C,Data_Pivot_Table!$V52,Data_Long_Form!$A:$A,Data_Pivot_Table!Z$4))</f>
        <v>536.81967972940186</v>
      </c>
      <c r="AA52" t="str">
        <f>+IF(SUMIFS(Data_Long_Form!$D:$D,Data_Long_Form!$C:$C,Data_Pivot_Table!$V52,Data_Long_Form!$A:$A,Data_Pivot_Table!AA$4)=0,"",SUMIFS(Data_Long_Form!$D:$D,Data_Long_Form!$C:$C,Data_Pivot_Table!$V52,Data_Long_Form!$A:$A,Data_Pivot_Table!AA$4))</f>
        <v/>
      </c>
      <c r="AB52">
        <f>+IF(SUMIFS(Data_Long_Form!$D:$D,Data_Long_Form!$C:$C,Data_Pivot_Table!$V52,Data_Long_Form!$A:$A,Data_Pivot_Table!AB$4)=0,"",SUMIFS(Data_Long_Form!$D:$D,Data_Long_Form!$C:$C,Data_Pivot_Table!$V52,Data_Long_Form!$A:$A,Data_Pivot_Table!AB$4))</f>
        <v>483.91082233561531</v>
      </c>
      <c r="AC52" t="str">
        <f>+IF(SUMIFS(Data_Long_Form!$D:$D,Data_Long_Form!$C:$C,Data_Pivot_Table!$V52,Data_Long_Form!$A:$A,Data_Pivot_Table!AC$4)=0,"",SUMIFS(Data_Long_Form!$D:$D,Data_Long_Form!$C:$C,Data_Pivot_Table!$V52,Data_Long_Form!$A:$A,Data_Pivot_Table!AC$4))</f>
        <v/>
      </c>
    </row>
    <row r="53" spans="1:29" x14ac:dyDescent="0.2">
      <c r="A53" s="5">
        <v>0.42125000000000001</v>
      </c>
      <c r="B53" s="4"/>
      <c r="C53" s="4"/>
      <c r="D53" s="4"/>
      <c r="E53" s="4"/>
      <c r="F53" s="4"/>
      <c r="G53" s="4">
        <v>1</v>
      </c>
      <c r="H53" s="4">
        <v>1</v>
      </c>
      <c r="I53" s="4">
        <v>2</v>
      </c>
      <c r="J53" s="4"/>
      <c r="K53">
        <v>0.42125000000000001</v>
      </c>
      <c r="M53">
        <v>1</v>
      </c>
      <c r="N53">
        <v>1</v>
      </c>
      <c r="S53">
        <v>2</v>
      </c>
      <c r="V53" s="8">
        <v>0.42125000000000001</v>
      </c>
      <c r="W53" t="str">
        <f>+IF(SUMIFS(Data_Long_Form!$D:$D,Data_Long_Form!$C:$C,Data_Pivot_Table!$V53,Data_Long_Form!$A:$A,Data_Pivot_Table!W$4)=0,"",SUMIFS(Data_Long_Form!$D:$D,Data_Long_Form!$C:$C,Data_Pivot_Table!$V53,Data_Long_Form!$A:$A,Data_Pivot_Table!W$4))</f>
        <v/>
      </c>
      <c r="X53">
        <f>+IF(SUMIFS(Data_Long_Form!$D:$D,Data_Long_Form!$C:$C,Data_Pivot_Table!$V53,Data_Long_Form!$A:$A,Data_Pivot_Table!X$4)=0,"",SUMIFS(Data_Long_Form!$D:$D,Data_Long_Form!$C:$C,Data_Pivot_Table!$V53,Data_Long_Form!$A:$A,Data_Pivot_Table!X$4))</f>
        <v>412.54832969773804</v>
      </c>
      <c r="Y53">
        <f>+IF(SUMIFS(Data_Long_Form!$D:$D,Data_Long_Form!$C:$C,Data_Pivot_Table!$V53,Data_Long_Form!$A:$A,Data_Pivot_Table!Y$4)=0,"",SUMIFS(Data_Long_Form!$D:$D,Data_Long_Form!$C:$C,Data_Pivot_Table!$V53,Data_Long_Form!$A:$A,Data_Pivot_Table!Y$4))</f>
        <v>248.53094252046972</v>
      </c>
      <c r="Z53" t="str">
        <f>+IF(SUMIFS(Data_Long_Form!$D:$D,Data_Long_Form!$C:$C,Data_Pivot_Table!$V53,Data_Long_Form!$A:$A,Data_Pivot_Table!Z$4)=0,"",SUMIFS(Data_Long_Form!$D:$D,Data_Long_Form!$C:$C,Data_Pivot_Table!$V53,Data_Long_Form!$A:$A,Data_Pivot_Table!Z$4))</f>
        <v/>
      </c>
      <c r="AA53" t="str">
        <f>+IF(SUMIFS(Data_Long_Form!$D:$D,Data_Long_Form!$C:$C,Data_Pivot_Table!$V53,Data_Long_Form!$A:$A,Data_Pivot_Table!AA$4)=0,"",SUMIFS(Data_Long_Form!$D:$D,Data_Long_Form!$C:$C,Data_Pivot_Table!$V53,Data_Long_Form!$A:$A,Data_Pivot_Table!AA$4))</f>
        <v/>
      </c>
      <c r="AB53" t="str">
        <f>+IF(SUMIFS(Data_Long_Form!$D:$D,Data_Long_Form!$C:$C,Data_Pivot_Table!$V53,Data_Long_Form!$A:$A,Data_Pivot_Table!AB$4)=0,"",SUMIFS(Data_Long_Form!$D:$D,Data_Long_Form!$C:$C,Data_Pivot_Table!$V53,Data_Long_Form!$A:$A,Data_Pivot_Table!AB$4))</f>
        <v/>
      </c>
      <c r="AC53" t="str">
        <f>+IF(SUMIFS(Data_Long_Form!$D:$D,Data_Long_Form!$C:$C,Data_Pivot_Table!$V53,Data_Long_Form!$A:$A,Data_Pivot_Table!AC$4)=0,"",SUMIFS(Data_Long_Form!$D:$D,Data_Long_Form!$C:$C,Data_Pivot_Table!$V53,Data_Long_Form!$A:$A,Data_Pivot_Table!AC$4))</f>
        <v/>
      </c>
    </row>
    <row r="54" spans="1:29" x14ac:dyDescent="0.2">
      <c r="A54" s="5">
        <v>0.42126157407407405</v>
      </c>
      <c r="B54" s="4"/>
      <c r="C54" s="4"/>
      <c r="D54" s="4"/>
      <c r="E54" s="4"/>
      <c r="F54" s="4"/>
      <c r="G54" s="4">
        <v>1</v>
      </c>
      <c r="H54" s="4"/>
      <c r="I54" s="4">
        <v>1</v>
      </c>
      <c r="J54" s="4"/>
      <c r="K54">
        <v>0.42126157407407405</v>
      </c>
      <c r="M54">
        <v>1</v>
      </c>
      <c r="S54">
        <v>1</v>
      </c>
      <c r="V54" s="8">
        <v>0.42126157407407405</v>
      </c>
      <c r="W54" t="str">
        <f>+IF(SUMIFS(Data_Long_Form!$D:$D,Data_Long_Form!$C:$C,Data_Pivot_Table!$V54,Data_Long_Form!$A:$A,Data_Pivot_Table!W$4)=0,"",SUMIFS(Data_Long_Form!$D:$D,Data_Long_Form!$C:$C,Data_Pivot_Table!$V54,Data_Long_Form!$A:$A,Data_Pivot_Table!W$4))</f>
        <v/>
      </c>
      <c r="X54">
        <f>+IF(SUMIFS(Data_Long_Form!$D:$D,Data_Long_Form!$C:$C,Data_Pivot_Table!$V54,Data_Long_Form!$A:$A,Data_Pivot_Table!X$4)=0,"",SUMIFS(Data_Long_Form!$D:$D,Data_Long_Form!$C:$C,Data_Pivot_Table!$V54,Data_Long_Form!$A:$A,Data_Pivot_Table!X$4))</f>
        <v>423.67391421206855</v>
      </c>
      <c r="Y54" t="str">
        <f>+IF(SUMIFS(Data_Long_Form!$D:$D,Data_Long_Form!$C:$C,Data_Pivot_Table!$V54,Data_Long_Form!$A:$A,Data_Pivot_Table!Y$4)=0,"",SUMIFS(Data_Long_Form!$D:$D,Data_Long_Form!$C:$C,Data_Pivot_Table!$V54,Data_Long_Form!$A:$A,Data_Pivot_Table!Y$4))</f>
        <v/>
      </c>
      <c r="Z54" t="str">
        <f>+IF(SUMIFS(Data_Long_Form!$D:$D,Data_Long_Form!$C:$C,Data_Pivot_Table!$V54,Data_Long_Form!$A:$A,Data_Pivot_Table!Z$4)=0,"",SUMIFS(Data_Long_Form!$D:$D,Data_Long_Form!$C:$C,Data_Pivot_Table!$V54,Data_Long_Form!$A:$A,Data_Pivot_Table!Z$4))</f>
        <v/>
      </c>
      <c r="AA54" t="str">
        <f>+IF(SUMIFS(Data_Long_Form!$D:$D,Data_Long_Form!$C:$C,Data_Pivot_Table!$V54,Data_Long_Form!$A:$A,Data_Pivot_Table!AA$4)=0,"",SUMIFS(Data_Long_Form!$D:$D,Data_Long_Form!$C:$C,Data_Pivot_Table!$V54,Data_Long_Form!$A:$A,Data_Pivot_Table!AA$4))</f>
        <v/>
      </c>
      <c r="AB54" t="str">
        <f>+IF(SUMIFS(Data_Long_Form!$D:$D,Data_Long_Form!$C:$C,Data_Pivot_Table!$V54,Data_Long_Form!$A:$A,Data_Pivot_Table!AB$4)=0,"",SUMIFS(Data_Long_Form!$D:$D,Data_Long_Form!$C:$C,Data_Pivot_Table!$V54,Data_Long_Form!$A:$A,Data_Pivot_Table!AB$4))</f>
        <v/>
      </c>
      <c r="AC54" t="str">
        <f>+IF(SUMIFS(Data_Long_Form!$D:$D,Data_Long_Form!$C:$C,Data_Pivot_Table!$V54,Data_Long_Form!$A:$A,Data_Pivot_Table!AC$4)=0,"",SUMIFS(Data_Long_Form!$D:$D,Data_Long_Form!$C:$C,Data_Pivot_Table!$V54,Data_Long_Form!$A:$A,Data_Pivot_Table!AC$4))</f>
        <v/>
      </c>
    </row>
    <row r="55" spans="1:29" x14ac:dyDescent="0.2">
      <c r="A55" s="5">
        <v>0.42127314814814815</v>
      </c>
      <c r="B55" s="4">
        <v>1</v>
      </c>
      <c r="C55" s="4"/>
      <c r="D55" s="4">
        <v>1</v>
      </c>
      <c r="E55" s="4"/>
      <c r="F55" s="4"/>
      <c r="G55" s="4">
        <v>1</v>
      </c>
      <c r="H55" s="4"/>
      <c r="I55" s="4">
        <v>3</v>
      </c>
      <c r="J55" s="4"/>
      <c r="K55">
        <v>0.42127314814814815</v>
      </c>
      <c r="M55">
        <v>1</v>
      </c>
      <c r="O55">
        <v>1</v>
      </c>
      <c r="Q55">
        <v>1</v>
      </c>
      <c r="S55">
        <v>3</v>
      </c>
      <c r="V55" s="8">
        <v>0.42127314814814815</v>
      </c>
      <c r="W55" t="str">
        <f>+IF(SUMIFS(Data_Long_Form!$D:$D,Data_Long_Form!$C:$C,Data_Pivot_Table!$V55,Data_Long_Form!$A:$A,Data_Pivot_Table!W$4)=0,"",SUMIFS(Data_Long_Form!$D:$D,Data_Long_Form!$C:$C,Data_Pivot_Table!$V55,Data_Long_Form!$A:$A,Data_Pivot_Table!W$4))</f>
        <v/>
      </c>
      <c r="X55">
        <f>+IF(SUMIFS(Data_Long_Form!$D:$D,Data_Long_Form!$C:$C,Data_Pivot_Table!$V55,Data_Long_Form!$A:$A,Data_Pivot_Table!X$4)=0,"",SUMIFS(Data_Long_Form!$D:$D,Data_Long_Form!$C:$C,Data_Pivot_Table!$V55,Data_Long_Form!$A:$A,Data_Pivot_Table!X$4))</f>
        <v>431.41436763684146</v>
      </c>
      <c r="Y55" t="str">
        <f>+IF(SUMIFS(Data_Long_Form!$D:$D,Data_Long_Form!$C:$C,Data_Pivot_Table!$V55,Data_Long_Form!$A:$A,Data_Pivot_Table!Y$4)=0,"",SUMIFS(Data_Long_Form!$D:$D,Data_Long_Form!$C:$C,Data_Pivot_Table!$V55,Data_Long_Form!$A:$A,Data_Pivot_Table!Y$4))</f>
        <v/>
      </c>
      <c r="Z55">
        <f>+IF(SUMIFS(Data_Long_Form!$D:$D,Data_Long_Form!$C:$C,Data_Pivot_Table!$V55,Data_Long_Form!$A:$A,Data_Pivot_Table!Z$4)=0,"",SUMIFS(Data_Long_Form!$D:$D,Data_Long_Form!$C:$C,Data_Pivot_Table!$V55,Data_Long_Form!$A:$A,Data_Pivot_Table!Z$4))</f>
        <v>508.54724321530864</v>
      </c>
      <c r="AA55" t="str">
        <f>+IF(SUMIFS(Data_Long_Form!$D:$D,Data_Long_Form!$C:$C,Data_Pivot_Table!$V55,Data_Long_Form!$A:$A,Data_Pivot_Table!AA$4)=0,"",SUMIFS(Data_Long_Form!$D:$D,Data_Long_Form!$C:$C,Data_Pivot_Table!$V55,Data_Long_Form!$A:$A,Data_Pivot_Table!AA$4))</f>
        <v/>
      </c>
      <c r="AB55">
        <f>+IF(SUMIFS(Data_Long_Form!$D:$D,Data_Long_Form!$C:$C,Data_Pivot_Table!$V55,Data_Long_Form!$A:$A,Data_Pivot_Table!AB$4)=0,"",SUMIFS(Data_Long_Form!$D:$D,Data_Long_Form!$C:$C,Data_Pivot_Table!$V55,Data_Long_Form!$A:$A,Data_Pivot_Table!AB$4))</f>
        <v>537.51202219647416</v>
      </c>
      <c r="AC55" t="str">
        <f>+IF(SUMIFS(Data_Long_Form!$D:$D,Data_Long_Form!$C:$C,Data_Pivot_Table!$V55,Data_Long_Form!$A:$A,Data_Pivot_Table!AC$4)=0,"",SUMIFS(Data_Long_Form!$D:$D,Data_Long_Form!$C:$C,Data_Pivot_Table!$V55,Data_Long_Form!$A:$A,Data_Pivot_Table!AC$4))</f>
        <v/>
      </c>
    </row>
    <row r="56" spans="1:29" x14ac:dyDescent="0.2">
      <c r="A56" s="5">
        <v>0.42129629629629628</v>
      </c>
      <c r="B56" s="4">
        <v>1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7</v>
      </c>
      <c r="J56" s="4"/>
      <c r="K56">
        <v>0.42129629629629628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7</v>
      </c>
      <c r="V56" s="8">
        <v>0.42129629629629628</v>
      </c>
      <c r="W56">
        <f>+IF(SUMIFS(Data_Long_Form!$D:$D,Data_Long_Form!$C:$C,Data_Pivot_Table!$V56,Data_Long_Form!$A:$A,Data_Pivot_Table!W$4)=0,"",SUMIFS(Data_Long_Form!$D:$D,Data_Long_Form!$C:$C,Data_Pivot_Table!$V56,Data_Long_Form!$A:$A,Data_Pivot_Table!W$4))</f>
        <v>356.20492616341505</v>
      </c>
      <c r="X56">
        <f>+IF(SUMIFS(Data_Long_Form!$D:$D,Data_Long_Form!$C:$C,Data_Pivot_Table!$V56,Data_Long_Form!$A:$A,Data_Pivot_Table!X$4)=0,"",SUMIFS(Data_Long_Form!$D:$D,Data_Long_Form!$C:$C,Data_Pivot_Table!$V56,Data_Long_Form!$A:$A,Data_Pivot_Table!X$4))</f>
        <v>442.05782434054157</v>
      </c>
      <c r="Y56">
        <f>+IF(SUMIFS(Data_Long_Form!$D:$D,Data_Long_Form!$C:$C,Data_Pivot_Table!$V56,Data_Long_Form!$A:$A,Data_Pivot_Table!Y$4)=0,"",SUMIFS(Data_Long_Form!$D:$D,Data_Long_Form!$C:$C,Data_Pivot_Table!$V56,Data_Long_Form!$A:$A,Data_Pivot_Table!Y$4))</f>
        <v>253.91314703982096</v>
      </c>
      <c r="Z56">
        <f>+IF(SUMIFS(Data_Long_Form!$D:$D,Data_Long_Form!$C:$C,Data_Pivot_Table!$V56,Data_Long_Form!$A:$A,Data_Pivot_Table!Z$4)=0,"",SUMIFS(Data_Long_Form!$D:$D,Data_Long_Form!$C:$C,Data_Pivot_Table!$V56,Data_Long_Form!$A:$A,Data_Pivot_Table!Z$4))</f>
        <v>509.49838741972155</v>
      </c>
      <c r="AA56">
        <f>+IF(SUMIFS(Data_Long_Form!$D:$D,Data_Long_Form!$C:$C,Data_Pivot_Table!$V56,Data_Long_Form!$A:$A,Data_Pivot_Table!AA$4)=0,"",SUMIFS(Data_Long_Form!$D:$D,Data_Long_Form!$C:$C,Data_Pivot_Table!$V56,Data_Long_Form!$A:$A,Data_Pivot_Table!AA$4))</f>
        <v>371.12394828094381</v>
      </c>
      <c r="AB56">
        <f>+IF(SUMIFS(Data_Long_Form!$D:$D,Data_Long_Form!$C:$C,Data_Pivot_Table!$V56,Data_Long_Form!$A:$A,Data_Pivot_Table!AB$4)=0,"",SUMIFS(Data_Long_Form!$D:$D,Data_Long_Form!$C:$C,Data_Pivot_Table!$V56,Data_Long_Form!$A:$A,Data_Pivot_Table!AB$4))</f>
        <v>497.63575090334149</v>
      </c>
      <c r="AC56">
        <f>+IF(SUMIFS(Data_Long_Form!$D:$D,Data_Long_Form!$C:$C,Data_Pivot_Table!$V56,Data_Long_Form!$A:$A,Data_Pivot_Table!AC$4)=0,"",SUMIFS(Data_Long_Form!$D:$D,Data_Long_Form!$C:$C,Data_Pivot_Table!$V56,Data_Long_Form!$A:$A,Data_Pivot_Table!AC$4))</f>
        <v>416.66446068742812</v>
      </c>
    </row>
    <row r="57" spans="1:29" x14ac:dyDescent="0.2">
      <c r="A57" s="5">
        <v>0.4226273148148148</v>
      </c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7</v>
      </c>
      <c r="J57" s="4"/>
      <c r="K57">
        <v>0.4226273148148148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7</v>
      </c>
      <c r="V57" s="8">
        <v>0.4226273148148148</v>
      </c>
      <c r="W57">
        <f>+IF(SUMIFS(Data_Long_Form!$D:$D,Data_Long_Form!$C:$C,Data_Pivot_Table!$V57,Data_Long_Form!$A:$A,Data_Pivot_Table!W$4)=0,"",SUMIFS(Data_Long_Form!$D:$D,Data_Long_Form!$C:$C,Data_Pivot_Table!$V57,Data_Long_Form!$A:$A,Data_Pivot_Table!W$4))</f>
        <v>378.48165323061494</v>
      </c>
      <c r="X57">
        <f>+IF(SUMIFS(Data_Long_Form!$D:$D,Data_Long_Form!$C:$C,Data_Pivot_Table!$V57,Data_Long_Form!$A:$A,Data_Pivot_Table!X$4)=0,"",SUMIFS(Data_Long_Form!$D:$D,Data_Long_Form!$C:$C,Data_Pivot_Table!$V57,Data_Long_Form!$A:$A,Data_Pivot_Table!X$4))</f>
        <v>406.01721027985155</v>
      </c>
      <c r="Y57">
        <f>+IF(SUMIFS(Data_Long_Form!$D:$D,Data_Long_Form!$C:$C,Data_Pivot_Table!$V57,Data_Long_Form!$A:$A,Data_Pivot_Table!Y$4)=0,"",SUMIFS(Data_Long_Form!$D:$D,Data_Long_Form!$C:$C,Data_Pivot_Table!$V57,Data_Long_Form!$A:$A,Data_Pivot_Table!Y$4))</f>
        <v>275.21057591782954</v>
      </c>
      <c r="Z57">
        <f>+IF(SUMIFS(Data_Long_Form!$D:$D,Data_Long_Form!$C:$C,Data_Pivot_Table!$V57,Data_Long_Form!$A:$A,Data_Pivot_Table!Z$4)=0,"",SUMIFS(Data_Long_Form!$D:$D,Data_Long_Form!$C:$C,Data_Pivot_Table!$V57,Data_Long_Form!$A:$A,Data_Pivot_Table!Z$4))</f>
        <v>476.43172203308876</v>
      </c>
      <c r="AA57">
        <f>+IF(SUMIFS(Data_Long_Form!$D:$D,Data_Long_Form!$C:$C,Data_Pivot_Table!$V57,Data_Long_Form!$A:$A,Data_Pivot_Table!AA$4)=0,"",SUMIFS(Data_Long_Form!$D:$D,Data_Long_Form!$C:$C,Data_Pivot_Table!$V57,Data_Long_Form!$A:$A,Data_Pivot_Table!AA$4))</f>
        <v>372.81471722317434</v>
      </c>
      <c r="AB57">
        <f>+IF(SUMIFS(Data_Long_Form!$D:$D,Data_Long_Form!$C:$C,Data_Pivot_Table!$V57,Data_Long_Form!$A:$A,Data_Pivot_Table!AB$4)=0,"",SUMIFS(Data_Long_Form!$D:$D,Data_Long_Form!$C:$C,Data_Pivot_Table!$V57,Data_Long_Form!$A:$A,Data_Pivot_Table!AB$4))</f>
        <v>547.20632557835052</v>
      </c>
      <c r="AC57">
        <f>+IF(SUMIFS(Data_Long_Form!$D:$D,Data_Long_Form!$C:$C,Data_Pivot_Table!$V57,Data_Long_Form!$A:$A,Data_Pivot_Table!AC$4)=0,"",SUMIFS(Data_Long_Form!$D:$D,Data_Long_Form!$C:$C,Data_Pivot_Table!$V57,Data_Long_Form!$A:$A,Data_Pivot_Table!AC$4))</f>
        <v>444.78196417484889</v>
      </c>
    </row>
    <row r="58" spans="1:29" x14ac:dyDescent="0.2">
      <c r="A58" s="5">
        <v>0.4226388888888889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7</v>
      </c>
      <c r="J58" s="4"/>
      <c r="K58">
        <v>0.4226388888888889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7</v>
      </c>
      <c r="V58" s="8">
        <v>0.4226388888888889</v>
      </c>
      <c r="W58">
        <f>+IF(SUMIFS(Data_Long_Form!$D:$D,Data_Long_Form!$C:$C,Data_Pivot_Table!$V58,Data_Long_Form!$A:$A,Data_Pivot_Table!W$4)=0,"",SUMIFS(Data_Long_Form!$D:$D,Data_Long_Form!$C:$C,Data_Pivot_Table!$V58,Data_Long_Form!$A:$A,Data_Pivot_Table!W$4))</f>
        <v>376.8287496367156</v>
      </c>
      <c r="X58">
        <f>+IF(SUMIFS(Data_Long_Form!$D:$D,Data_Long_Form!$C:$C,Data_Pivot_Table!$V58,Data_Long_Form!$A:$A,Data_Pivot_Table!X$4)=0,"",SUMIFS(Data_Long_Form!$D:$D,Data_Long_Form!$C:$C,Data_Pivot_Table!$V58,Data_Long_Form!$A:$A,Data_Pivot_Table!X$4))</f>
        <v>429.57453388207648</v>
      </c>
      <c r="Y58">
        <f>+IF(SUMIFS(Data_Long_Form!$D:$D,Data_Long_Form!$C:$C,Data_Pivot_Table!$V58,Data_Long_Form!$A:$A,Data_Pivot_Table!Y$4)=0,"",SUMIFS(Data_Long_Form!$D:$D,Data_Long_Form!$C:$C,Data_Pivot_Table!$V58,Data_Long_Form!$A:$A,Data_Pivot_Table!Y$4))</f>
        <v>286.28063709269003</v>
      </c>
      <c r="Z58">
        <f>+IF(SUMIFS(Data_Long_Form!$D:$D,Data_Long_Form!$C:$C,Data_Pivot_Table!$V58,Data_Long_Form!$A:$A,Data_Pivot_Table!Z$4)=0,"",SUMIFS(Data_Long_Form!$D:$D,Data_Long_Form!$C:$C,Data_Pivot_Table!$V58,Data_Long_Form!$A:$A,Data_Pivot_Table!Z$4))</f>
        <v>508.2780780145244</v>
      </c>
      <c r="AA58">
        <f>+IF(SUMIFS(Data_Long_Form!$D:$D,Data_Long_Form!$C:$C,Data_Pivot_Table!$V58,Data_Long_Form!$A:$A,Data_Pivot_Table!AA$4)=0,"",SUMIFS(Data_Long_Form!$D:$D,Data_Long_Form!$C:$C,Data_Pivot_Table!$V58,Data_Long_Form!$A:$A,Data_Pivot_Table!AA$4))</f>
        <v>380.18349861447228</v>
      </c>
      <c r="AB58">
        <f>+IF(SUMIFS(Data_Long_Form!$D:$D,Data_Long_Form!$C:$C,Data_Pivot_Table!$V58,Data_Long_Form!$A:$A,Data_Pivot_Table!AB$4)=0,"",SUMIFS(Data_Long_Form!$D:$D,Data_Long_Form!$C:$C,Data_Pivot_Table!$V58,Data_Long_Form!$A:$A,Data_Pivot_Table!AB$4))</f>
        <v>587.75590568533482</v>
      </c>
      <c r="AC58">
        <f>+IF(SUMIFS(Data_Long_Form!$D:$D,Data_Long_Form!$C:$C,Data_Pivot_Table!$V58,Data_Long_Form!$A:$A,Data_Pivot_Table!AC$4)=0,"",SUMIFS(Data_Long_Form!$D:$D,Data_Long_Form!$C:$C,Data_Pivot_Table!$V58,Data_Long_Form!$A:$A,Data_Pivot_Table!AC$4))</f>
        <v>526.12396753006669</v>
      </c>
    </row>
    <row r="59" spans="1:29" x14ac:dyDescent="0.2">
      <c r="A59" s="5">
        <v>0.42265046296296294</v>
      </c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7</v>
      </c>
      <c r="J59" s="4"/>
      <c r="K59">
        <v>0.42265046296296294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7</v>
      </c>
      <c r="V59" s="8">
        <v>0.42265046296296294</v>
      </c>
      <c r="W59">
        <f>+IF(SUMIFS(Data_Long_Form!$D:$D,Data_Long_Form!$C:$C,Data_Pivot_Table!$V59,Data_Long_Form!$A:$A,Data_Pivot_Table!W$4)=0,"",SUMIFS(Data_Long_Form!$D:$D,Data_Long_Form!$C:$C,Data_Pivot_Table!$V59,Data_Long_Form!$A:$A,Data_Pivot_Table!W$4))</f>
        <v>345.01586596180618</v>
      </c>
      <c r="X59">
        <f>+IF(SUMIFS(Data_Long_Form!$D:$D,Data_Long_Form!$C:$C,Data_Pivot_Table!$V59,Data_Long_Form!$A:$A,Data_Pivot_Table!X$4)=0,"",SUMIFS(Data_Long_Form!$D:$D,Data_Long_Form!$C:$C,Data_Pivot_Table!$V59,Data_Long_Form!$A:$A,Data_Pivot_Table!X$4))</f>
        <v>421.22512078660094</v>
      </c>
      <c r="Y59">
        <f>+IF(SUMIFS(Data_Long_Form!$D:$D,Data_Long_Form!$C:$C,Data_Pivot_Table!$V59,Data_Long_Form!$A:$A,Data_Pivot_Table!Y$4)=0,"",SUMIFS(Data_Long_Form!$D:$D,Data_Long_Form!$C:$C,Data_Pivot_Table!$V59,Data_Long_Form!$A:$A,Data_Pivot_Table!Y$4))</f>
        <v>275.34362428400556</v>
      </c>
      <c r="Z59">
        <f>+IF(SUMIFS(Data_Long_Form!$D:$D,Data_Long_Form!$C:$C,Data_Pivot_Table!$V59,Data_Long_Form!$A:$A,Data_Pivot_Table!Z$4)=0,"",SUMIFS(Data_Long_Form!$D:$D,Data_Long_Form!$C:$C,Data_Pivot_Table!$V59,Data_Long_Form!$A:$A,Data_Pivot_Table!Z$4))</f>
        <v>493.55430373669515</v>
      </c>
      <c r="AA59">
        <f>+IF(SUMIFS(Data_Long_Form!$D:$D,Data_Long_Form!$C:$C,Data_Pivot_Table!$V59,Data_Long_Form!$A:$A,Data_Pivot_Table!AA$4)=0,"",SUMIFS(Data_Long_Form!$D:$D,Data_Long_Form!$C:$C,Data_Pivot_Table!$V59,Data_Long_Form!$A:$A,Data_Pivot_Table!AA$4))</f>
        <v>364.71849368626255</v>
      </c>
      <c r="AB59">
        <f>+IF(SUMIFS(Data_Long_Form!$D:$D,Data_Long_Form!$C:$C,Data_Pivot_Table!$V59,Data_Long_Form!$A:$A,Data_Pivot_Table!AB$4)=0,"",SUMIFS(Data_Long_Form!$D:$D,Data_Long_Form!$C:$C,Data_Pivot_Table!$V59,Data_Long_Form!$A:$A,Data_Pivot_Table!AB$4))</f>
        <v>527.66246585239298</v>
      </c>
      <c r="AC59">
        <f>+IF(SUMIFS(Data_Long_Form!$D:$D,Data_Long_Form!$C:$C,Data_Pivot_Table!$V59,Data_Long_Form!$A:$A,Data_Pivot_Table!AC$4)=0,"",SUMIFS(Data_Long_Form!$D:$D,Data_Long_Form!$C:$C,Data_Pivot_Table!$V59,Data_Long_Form!$A:$A,Data_Pivot_Table!AC$4))</f>
        <v>536.20951880724976</v>
      </c>
    </row>
    <row r="60" spans="1:29" x14ac:dyDescent="0.2">
      <c r="A60" s="5">
        <v>0.42266203703703703</v>
      </c>
      <c r="B60" s="4"/>
      <c r="C60" s="4"/>
      <c r="D60" s="4"/>
      <c r="E60" s="4"/>
      <c r="F60" s="4">
        <v>1</v>
      </c>
      <c r="G60" s="4"/>
      <c r="H60" s="4"/>
      <c r="I60" s="4">
        <v>1</v>
      </c>
      <c r="J60" s="4"/>
      <c r="K60">
        <v>0.42266203703703703</v>
      </c>
      <c r="L60">
        <v>1</v>
      </c>
      <c r="S60">
        <v>1</v>
      </c>
      <c r="V60" s="8">
        <v>0.42266203703703703</v>
      </c>
      <c r="W60">
        <f>+IF(SUMIFS(Data_Long_Form!$D:$D,Data_Long_Form!$C:$C,Data_Pivot_Table!$V60,Data_Long_Form!$A:$A,Data_Pivot_Table!W$4)=0,"",SUMIFS(Data_Long_Form!$D:$D,Data_Long_Form!$C:$C,Data_Pivot_Table!$V60,Data_Long_Form!$A:$A,Data_Pivot_Table!W$4))</f>
        <v>373.72168790187044</v>
      </c>
      <c r="X60" t="str">
        <f>+IF(SUMIFS(Data_Long_Form!$D:$D,Data_Long_Form!$C:$C,Data_Pivot_Table!$V60,Data_Long_Form!$A:$A,Data_Pivot_Table!X$4)=0,"",SUMIFS(Data_Long_Form!$D:$D,Data_Long_Form!$C:$C,Data_Pivot_Table!$V60,Data_Long_Form!$A:$A,Data_Pivot_Table!X$4))</f>
        <v/>
      </c>
      <c r="Y60" t="str">
        <f>+IF(SUMIFS(Data_Long_Form!$D:$D,Data_Long_Form!$C:$C,Data_Pivot_Table!$V60,Data_Long_Form!$A:$A,Data_Pivot_Table!Y$4)=0,"",SUMIFS(Data_Long_Form!$D:$D,Data_Long_Form!$C:$C,Data_Pivot_Table!$V60,Data_Long_Form!$A:$A,Data_Pivot_Table!Y$4))</f>
        <v/>
      </c>
      <c r="Z60" t="str">
        <f>+IF(SUMIFS(Data_Long_Form!$D:$D,Data_Long_Form!$C:$C,Data_Pivot_Table!$V60,Data_Long_Form!$A:$A,Data_Pivot_Table!Z$4)=0,"",SUMIFS(Data_Long_Form!$D:$D,Data_Long_Form!$C:$C,Data_Pivot_Table!$V60,Data_Long_Form!$A:$A,Data_Pivot_Table!Z$4))</f>
        <v/>
      </c>
      <c r="AA60" t="str">
        <f>+IF(SUMIFS(Data_Long_Form!$D:$D,Data_Long_Form!$C:$C,Data_Pivot_Table!$V60,Data_Long_Form!$A:$A,Data_Pivot_Table!AA$4)=0,"",SUMIFS(Data_Long_Form!$D:$D,Data_Long_Form!$C:$C,Data_Pivot_Table!$V60,Data_Long_Form!$A:$A,Data_Pivot_Table!AA$4))</f>
        <v/>
      </c>
      <c r="AB60" t="str">
        <f>+IF(SUMIFS(Data_Long_Form!$D:$D,Data_Long_Form!$C:$C,Data_Pivot_Table!$V60,Data_Long_Form!$A:$A,Data_Pivot_Table!AB$4)=0,"",SUMIFS(Data_Long_Form!$D:$D,Data_Long_Form!$C:$C,Data_Pivot_Table!$V60,Data_Long_Form!$A:$A,Data_Pivot_Table!AB$4))</f>
        <v/>
      </c>
      <c r="AC60" t="str">
        <f>+IF(SUMIFS(Data_Long_Form!$D:$D,Data_Long_Form!$C:$C,Data_Pivot_Table!$V60,Data_Long_Form!$A:$A,Data_Pivot_Table!AC$4)=0,"",SUMIFS(Data_Long_Form!$D:$D,Data_Long_Form!$C:$C,Data_Pivot_Table!$V60,Data_Long_Form!$A:$A,Data_Pivot_Table!AC$4))</f>
        <v/>
      </c>
    </row>
    <row r="61" spans="1:29" x14ac:dyDescent="0.2">
      <c r="A61" s="5">
        <v>0.42267361111111112</v>
      </c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7</v>
      </c>
      <c r="J61" s="4"/>
      <c r="K61">
        <v>0.42267361111111112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7</v>
      </c>
      <c r="V61" s="8">
        <v>0.42267361111111112</v>
      </c>
      <c r="W61">
        <f>+IF(SUMIFS(Data_Long_Form!$D:$D,Data_Long_Form!$C:$C,Data_Pivot_Table!$V61,Data_Long_Form!$A:$A,Data_Pivot_Table!W$4)=0,"",SUMIFS(Data_Long_Form!$D:$D,Data_Long_Form!$C:$C,Data_Pivot_Table!$V61,Data_Long_Form!$A:$A,Data_Pivot_Table!W$4))</f>
        <v>378.47411148257868</v>
      </c>
      <c r="X61">
        <f>+IF(SUMIFS(Data_Long_Form!$D:$D,Data_Long_Form!$C:$C,Data_Pivot_Table!$V61,Data_Long_Form!$A:$A,Data_Pivot_Table!X$4)=0,"",SUMIFS(Data_Long_Form!$D:$D,Data_Long_Form!$C:$C,Data_Pivot_Table!$V61,Data_Long_Form!$A:$A,Data_Pivot_Table!X$4))</f>
        <v>403.67086151432255</v>
      </c>
      <c r="Y61">
        <f>+IF(SUMIFS(Data_Long_Form!$D:$D,Data_Long_Form!$C:$C,Data_Pivot_Table!$V61,Data_Long_Form!$A:$A,Data_Pivot_Table!Y$4)=0,"",SUMIFS(Data_Long_Form!$D:$D,Data_Long_Form!$C:$C,Data_Pivot_Table!$V61,Data_Long_Form!$A:$A,Data_Pivot_Table!Y$4))</f>
        <v>253.30948227578213</v>
      </c>
      <c r="Z61">
        <f>+IF(SUMIFS(Data_Long_Form!$D:$D,Data_Long_Form!$C:$C,Data_Pivot_Table!$V61,Data_Long_Form!$A:$A,Data_Pivot_Table!Z$4)=0,"",SUMIFS(Data_Long_Form!$D:$D,Data_Long_Form!$C:$C,Data_Pivot_Table!$V61,Data_Long_Form!$A:$A,Data_Pivot_Table!Z$4))</f>
        <v>499.55576685090682</v>
      </c>
      <c r="AA61">
        <f>+IF(SUMIFS(Data_Long_Form!$D:$D,Data_Long_Form!$C:$C,Data_Pivot_Table!$V61,Data_Long_Form!$A:$A,Data_Pivot_Table!AA$4)=0,"",SUMIFS(Data_Long_Form!$D:$D,Data_Long_Form!$C:$C,Data_Pivot_Table!$V61,Data_Long_Form!$A:$A,Data_Pivot_Table!AA$4))</f>
        <v>365.74514955269473</v>
      </c>
      <c r="AB61">
        <f>+IF(SUMIFS(Data_Long_Form!$D:$D,Data_Long_Form!$C:$C,Data_Pivot_Table!$V61,Data_Long_Form!$A:$A,Data_Pivot_Table!AB$4)=0,"",SUMIFS(Data_Long_Form!$D:$D,Data_Long_Form!$C:$C,Data_Pivot_Table!$V61,Data_Long_Form!$A:$A,Data_Pivot_Table!AB$4))</f>
        <v>550.74633058857262</v>
      </c>
      <c r="AC61">
        <f>+IF(SUMIFS(Data_Long_Form!$D:$D,Data_Long_Form!$C:$C,Data_Pivot_Table!$V61,Data_Long_Form!$A:$A,Data_Pivot_Table!AC$4)=0,"",SUMIFS(Data_Long_Form!$D:$D,Data_Long_Form!$C:$C,Data_Pivot_Table!$V61,Data_Long_Form!$A:$A,Data_Pivot_Table!AC$4))</f>
        <v>485.38875384932584</v>
      </c>
    </row>
    <row r="62" spans="1:29" x14ac:dyDescent="0.2">
      <c r="A62" s="5">
        <v>0.42269675925925926</v>
      </c>
      <c r="B62" s="4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7</v>
      </c>
      <c r="J62" s="4"/>
      <c r="K62">
        <v>0.42269675925925926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7</v>
      </c>
      <c r="V62" s="8">
        <v>0.42269675925925926</v>
      </c>
      <c r="W62">
        <f>+IF(SUMIFS(Data_Long_Form!$D:$D,Data_Long_Form!$C:$C,Data_Pivot_Table!$V62,Data_Long_Form!$A:$A,Data_Pivot_Table!W$4)=0,"",SUMIFS(Data_Long_Form!$D:$D,Data_Long_Form!$C:$C,Data_Pivot_Table!$V62,Data_Long_Form!$A:$A,Data_Pivot_Table!W$4))</f>
        <v>377.25139797359367</v>
      </c>
      <c r="X62">
        <f>+IF(SUMIFS(Data_Long_Form!$D:$D,Data_Long_Form!$C:$C,Data_Pivot_Table!$V62,Data_Long_Form!$A:$A,Data_Pivot_Table!X$4)=0,"",SUMIFS(Data_Long_Form!$D:$D,Data_Long_Form!$C:$C,Data_Pivot_Table!$V62,Data_Long_Form!$A:$A,Data_Pivot_Table!X$4))</f>
        <v>406.47212561610115</v>
      </c>
      <c r="Y62">
        <f>+IF(SUMIFS(Data_Long_Form!$D:$D,Data_Long_Form!$C:$C,Data_Pivot_Table!$V62,Data_Long_Form!$A:$A,Data_Pivot_Table!Y$4)=0,"",SUMIFS(Data_Long_Form!$D:$D,Data_Long_Form!$C:$C,Data_Pivot_Table!$V62,Data_Long_Form!$A:$A,Data_Pivot_Table!Y$4))</f>
        <v>252.93969026409118</v>
      </c>
      <c r="Z62">
        <f>+IF(SUMIFS(Data_Long_Form!$D:$D,Data_Long_Form!$C:$C,Data_Pivot_Table!$V62,Data_Long_Form!$A:$A,Data_Pivot_Table!Z$4)=0,"",SUMIFS(Data_Long_Form!$D:$D,Data_Long_Form!$C:$C,Data_Pivot_Table!$V62,Data_Long_Form!$A:$A,Data_Pivot_Table!Z$4))</f>
        <v>508.69155395705207</v>
      </c>
      <c r="AA62">
        <f>+IF(SUMIFS(Data_Long_Form!$D:$D,Data_Long_Form!$C:$C,Data_Pivot_Table!$V62,Data_Long_Form!$A:$A,Data_Pivot_Table!AA$4)=0,"",SUMIFS(Data_Long_Form!$D:$D,Data_Long_Form!$C:$C,Data_Pivot_Table!$V62,Data_Long_Form!$A:$A,Data_Pivot_Table!AA$4))</f>
        <v>364.13576812166326</v>
      </c>
      <c r="AB62">
        <f>+IF(SUMIFS(Data_Long_Form!$D:$D,Data_Long_Form!$C:$C,Data_Pivot_Table!$V62,Data_Long_Form!$A:$A,Data_Pivot_Table!AB$4)=0,"",SUMIFS(Data_Long_Form!$D:$D,Data_Long_Form!$C:$C,Data_Pivot_Table!$V62,Data_Long_Form!$A:$A,Data_Pivot_Table!AB$4))</f>
        <v>550.92741941776251</v>
      </c>
      <c r="AC62">
        <f>+IF(SUMIFS(Data_Long_Form!$D:$D,Data_Long_Form!$C:$C,Data_Pivot_Table!$V62,Data_Long_Form!$A:$A,Data_Pivot_Table!AC$4)=0,"",SUMIFS(Data_Long_Form!$D:$D,Data_Long_Form!$C:$C,Data_Pivot_Table!$V62,Data_Long_Form!$A:$A,Data_Pivot_Table!AC$4))</f>
        <v>481.9805903006478</v>
      </c>
    </row>
    <row r="63" spans="1:29" x14ac:dyDescent="0.2">
      <c r="A63" s="5">
        <v>0.42270833333333335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7</v>
      </c>
      <c r="J63" s="4"/>
      <c r="K63">
        <v>0.42270833333333335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7</v>
      </c>
      <c r="V63" s="8">
        <v>0.42270833333333335</v>
      </c>
      <c r="W63">
        <f>+IF(SUMIFS(Data_Long_Form!$D:$D,Data_Long_Form!$C:$C,Data_Pivot_Table!$V63,Data_Long_Form!$A:$A,Data_Pivot_Table!W$4)=0,"",SUMIFS(Data_Long_Form!$D:$D,Data_Long_Form!$C:$C,Data_Pivot_Table!$V63,Data_Long_Form!$A:$A,Data_Pivot_Table!W$4))</f>
        <v>378.0539437701625</v>
      </c>
      <c r="X63">
        <f>+IF(SUMIFS(Data_Long_Form!$D:$D,Data_Long_Form!$C:$C,Data_Pivot_Table!$V63,Data_Long_Form!$A:$A,Data_Pivot_Table!X$4)=0,"",SUMIFS(Data_Long_Form!$D:$D,Data_Long_Form!$C:$C,Data_Pivot_Table!$V63,Data_Long_Form!$A:$A,Data_Pivot_Table!X$4))</f>
        <v>408.30336552197667</v>
      </c>
      <c r="Y63">
        <f>+IF(SUMIFS(Data_Long_Form!$D:$D,Data_Long_Form!$C:$C,Data_Pivot_Table!$V63,Data_Long_Form!$A:$A,Data_Pivot_Table!Y$4)=0,"",SUMIFS(Data_Long_Form!$D:$D,Data_Long_Form!$C:$C,Data_Pivot_Table!$V63,Data_Long_Form!$A:$A,Data_Pivot_Table!Y$4))</f>
        <v>254.10061678468435</v>
      </c>
      <c r="Z63">
        <f>+IF(SUMIFS(Data_Long_Form!$D:$D,Data_Long_Form!$C:$C,Data_Pivot_Table!$V63,Data_Long_Form!$A:$A,Data_Pivot_Table!Z$4)=0,"",SUMIFS(Data_Long_Form!$D:$D,Data_Long_Form!$C:$C,Data_Pivot_Table!$V63,Data_Long_Form!$A:$A,Data_Pivot_Table!Z$4))</f>
        <v>502.47000413651807</v>
      </c>
      <c r="AA63">
        <f>+IF(SUMIFS(Data_Long_Form!$D:$D,Data_Long_Form!$C:$C,Data_Pivot_Table!$V63,Data_Long_Form!$A:$A,Data_Pivot_Table!AA$4)=0,"",SUMIFS(Data_Long_Form!$D:$D,Data_Long_Form!$C:$C,Data_Pivot_Table!$V63,Data_Long_Form!$A:$A,Data_Pivot_Table!AA$4))</f>
        <v>365.66051026970678</v>
      </c>
      <c r="AB63">
        <f>+IF(SUMIFS(Data_Long_Form!$D:$D,Data_Long_Form!$C:$C,Data_Pivot_Table!$V63,Data_Long_Form!$A:$A,Data_Pivot_Table!AB$4)=0,"",SUMIFS(Data_Long_Form!$D:$D,Data_Long_Form!$C:$C,Data_Pivot_Table!$V63,Data_Long_Form!$A:$A,Data_Pivot_Table!AB$4))</f>
        <v>553.15885561554649</v>
      </c>
      <c r="AC63">
        <f>+IF(SUMIFS(Data_Long_Form!$D:$D,Data_Long_Form!$C:$C,Data_Pivot_Table!$V63,Data_Long_Form!$A:$A,Data_Pivot_Table!AC$4)=0,"",SUMIFS(Data_Long_Form!$D:$D,Data_Long_Form!$C:$C,Data_Pivot_Table!$V63,Data_Long_Form!$A:$A,Data_Pivot_Table!AC$4))</f>
        <v>482.90331921784991</v>
      </c>
    </row>
    <row r="64" spans="1:29" x14ac:dyDescent="0.2">
      <c r="A64" s="5">
        <v>0.42271990740740739</v>
      </c>
      <c r="B64" s="4"/>
      <c r="C64" s="4"/>
      <c r="D64" s="4"/>
      <c r="E64" s="4">
        <v>1</v>
      </c>
      <c r="F64" s="4"/>
      <c r="G64" s="4"/>
      <c r="H64" s="4"/>
      <c r="I64" s="4">
        <v>1</v>
      </c>
      <c r="J64" s="4"/>
      <c r="K64">
        <v>0.42271990740740739</v>
      </c>
      <c r="R64">
        <v>1</v>
      </c>
      <c r="S64">
        <v>1</v>
      </c>
      <c r="V64" s="8">
        <v>0.42271990740740739</v>
      </c>
      <c r="W64" t="str">
        <f>+IF(SUMIFS(Data_Long_Form!$D:$D,Data_Long_Form!$C:$C,Data_Pivot_Table!$V64,Data_Long_Form!$A:$A,Data_Pivot_Table!W$4)=0,"",SUMIFS(Data_Long_Form!$D:$D,Data_Long_Form!$C:$C,Data_Pivot_Table!$V64,Data_Long_Form!$A:$A,Data_Pivot_Table!W$4))</f>
        <v/>
      </c>
      <c r="X64" t="str">
        <f>+IF(SUMIFS(Data_Long_Form!$D:$D,Data_Long_Form!$C:$C,Data_Pivot_Table!$V64,Data_Long_Form!$A:$A,Data_Pivot_Table!X$4)=0,"",SUMIFS(Data_Long_Form!$D:$D,Data_Long_Form!$C:$C,Data_Pivot_Table!$V64,Data_Long_Form!$A:$A,Data_Pivot_Table!X$4))</f>
        <v/>
      </c>
      <c r="Y64" t="str">
        <f>+IF(SUMIFS(Data_Long_Form!$D:$D,Data_Long_Form!$C:$C,Data_Pivot_Table!$V64,Data_Long_Form!$A:$A,Data_Pivot_Table!Y$4)=0,"",SUMIFS(Data_Long_Form!$D:$D,Data_Long_Form!$C:$C,Data_Pivot_Table!$V64,Data_Long_Form!$A:$A,Data_Pivot_Table!Y$4))</f>
        <v/>
      </c>
      <c r="Z64" t="str">
        <f>+IF(SUMIFS(Data_Long_Form!$D:$D,Data_Long_Form!$C:$C,Data_Pivot_Table!$V64,Data_Long_Form!$A:$A,Data_Pivot_Table!Z$4)=0,"",SUMIFS(Data_Long_Form!$D:$D,Data_Long_Form!$C:$C,Data_Pivot_Table!$V64,Data_Long_Form!$A:$A,Data_Pivot_Table!Z$4))</f>
        <v/>
      </c>
      <c r="AA64" t="str">
        <f>+IF(SUMIFS(Data_Long_Form!$D:$D,Data_Long_Form!$C:$C,Data_Pivot_Table!$V64,Data_Long_Form!$A:$A,Data_Pivot_Table!AA$4)=0,"",SUMIFS(Data_Long_Form!$D:$D,Data_Long_Form!$C:$C,Data_Pivot_Table!$V64,Data_Long_Form!$A:$A,Data_Pivot_Table!AA$4))</f>
        <v/>
      </c>
      <c r="AB64" t="str">
        <f>+IF(SUMIFS(Data_Long_Form!$D:$D,Data_Long_Form!$C:$C,Data_Pivot_Table!$V64,Data_Long_Form!$A:$A,Data_Pivot_Table!AB$4)=0,"",SUMIFS(Data_Long_Form!$D:$D,Data_Long_Form!$C:$C,Data_Pivot_Table!$V64,Data_Long_Form!$A:$A,Data_Pivot_Table!AB$4))</f>
        <v/>
      </c>
      <c r="AC64">
        <f>+IF(SUMIFS(Data_Long_Form!$D:$D,Data_Long_Form!$C:$C,Data_Pivot_Table!$V64,Data_Long_Form!$A:$A,Data_Pivot_Table!AC$4)=0,"",SUMIFS(Data_Long_Form!$D:$D,Data_Long_Form!$C:$C,Data_Pivot_Table!$V64,Data_Long_Form!$A:$A,Data_Pivot_Table!AC$4))</f>
        <v>507.27630414065561</v>
      </c>
    </row>
    <row r="65" spans="1:29" x14ac:dyDescent="0.2">
      <c r="A65" s="5">
        <v>0.42273148148148149</v>
      </c>
      <c r="B65" s="4"/>
      <c r="C65" s="4"/>
      <c r="D65" s="4"/>
      <c r="E65" s="4">
        <v>1</v>
      </c>
      <c r="F65" s="4"/>
      <c r="G65" s="4"/>
      <c r="H65" s="4"/>
      <c r="I65" s="4">
        <v>1</v>
      </c>
      <c r="J65" s="4"/>
      <c r="K65">
        <v>0.42273148148148149</v>
      </c>
      <c r="R65">
        <v>1</v>
      </c>
      <c r="S65">
        <v>1</v>
      </c>
      <c r="V65" s="8">
        <v>0.42273148148148149</v>
      </c>
      <c r="W65" t="str">
        <f>+IF(SUMIFS(Data_Long_Form!$D:$D,Data_Long_Form!$C:$C,Data_Pivot_Table!$V65,Data_Long_Form!$A:$A,Data_Pivot_Table!W$4)=0,"",SUMIFS(Data_Long_Form!$D:$D,Data_Long_Form!$C:$C,Data_Pivot_Table!$V65,Data_Long_Form!$A:$A,Data_Pivot_Table!W$4))</f>
        <v/>
      </c>
      <c r="X65" t="str">
        <f>+IF(SUMIFS(Data_Long_Form!$D:$D,Data_Long_Form!$C:$C,Data_Pivot_Table!$V65,Data_Long_Form!$A:$A,Data_Pivot_Table!X$4)=0,"",SUMIFS(Data_Long_Form!$D:$D,Data_Long_Form!$C:$C,Data_Pivot_Table!$V65,Data_Long_Form!$A:$A,Data_Pivot_Table!X$4))</f>
        <v/>
      </c>
      <c r="Y65" t="str">
        <f>+IF(SUMIFS(Data_Long_Form!$D:$D,Data_Long_Form!$C:$C,Data_Pivot_Table!$V65,Data_Long_Form!$A:$A,Data_Pivot_Table!Y$4)=0,"",SUMIFS(Data_Long_Form!$D:$D,Data_Long_Form!$C:$C,Data_Pivot_Table!$V65,Data_Long_Form!$A:$A,Data_Pivot_Table!Y$4))</f>
        <v/>
      </c>
      <c r="Z65" t="str">
        <f>+IF(SUMIFS(Data_Long_Form!$D:$D,Data_Long_Form!$C:$C,Data_Pivot_Table!$V65,Data_Long_Form!$A:$A,Data_Pivot_Table!Z$4)=0,"",SUMIFS(Data_Long_Form!$D:$D,Data_Long_Form!$C:$C,Data_Pivot_Table!$V65,Data_Long_Form!$A:$A,Data_Pivot_Table!Z$4))</f>
        <v/>
      </c>
      <c r="AA65" t="str">
        <f>+IF(SUMIFS(Data_Long_Form!$D:$D,Data_Long_Form!$C:$C,Data_Pivot_Table!$V65,Data_Long_Form!$A:$A,Data_Pivot_Table!AA$4)=0,"",SUMIFS(Data_Long_Form!$D:$D,Data_Long_Form!$C:$C,Data_Pivot_Table!$V65,Data_Long_Form!$A:$A,Data_Pivot_Table!AA$4))</f>
        <v/>
      </c>
      <c r="AB65" t="str">
        <f>+IF(SUMIFS(Data_Long_Form!$D:$D,Data_Long_Form!$C:$C,Data_Pivot_Table!$V65,Data_Long_Form!$A:$A,Data_Pivot_Table!AB$4)=0,"",SUMIFS(Data_Long_Form!$D:$D,Data_Long_Form!$C:$C,Data_Pivot_Table!$V65,Data_Long_Form!$A:$A,Data_Pivot_Table!AB$4))</f>
        <v/>
      </c>
      <c r="AC65">
        <f>+IF(SUMIFS(Data_Long_Form!$D:$D,Data_Long_Form!$C:$C,Data_Pivot_Table!$V65,Data_Long_Form!$A:$A,Data_Pivot_Table!AC$4)=0,"",SUMIFS(Data_Long_Form!$D:$D,Data_Long_Form!$C:$C,Data_Pivot_Table!$V65,Data_Long_Form!$A:$A,Data_Pivot_Table!AC$4))</f>
        <v>534.34441293968553</v>
      </c>
    </row>
    <row r="66" spans="1:29" x14ac:dyDescent="0.2">
      <c r="A66" s="5">
        <v>0.42275462962962962</v>
      </c>
      <c r="B66" s="4">
        <v>1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7</v>
      </c>
      <c r="J66" s="4"/>
      <c r="K66">
        <v>0.42275462962962962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7</v>
      </c>
      <c r="V66" s="8">
        <v>0.42275462962962962</v>
      </c>
      <c r="W66">
        <f>+IF(SUMIFS(Data_Long_Form!$D:$D,Data_Long_Form!$C:$C,Data_Pivot_Table!$V66,Data_Long_Form!$A:$A,Data_Pivot_Table!W$4)=0,"",SUMIFS(Data_Long_Form!$D:$D,Data_Long_Form!$C:$C,Data_Pivot_Table!$V66,Data_Long_Form!$A:$A,Data_Pivot_Table!W$4))</f>
        <v>373.97146733058378</v>
      </c>
      <c r="X66">
        <f>+IF(SUMIFS(Data_Long_Form!$D:$D,Data_Long_Form!$C:$C,Data_Pivot_Table!$V66,Data_Long_Form!$A:$A,Data_Pivot_Table!X$4)=0,"",SUMIFS(Data_Long_Form!$D:$D,Data_Long_Form!$C:$C,Data_Pivot_Table!$V66,Data_Long_Form!$A:$A,Data_Pivot_Table!X$4))</f>
        <v>396.49210329166715</v>
      </c>
      <c r="Y66">
        <f>+IF(SUMIFS(Data_Long_Form!$D:$D,Data_Long_Form!$C:$C,Data_Pivot_Table!$V66,Data_Long_Form!$A:$A,Data_Pivot_Table!Y$4)=0,"",SUMIFS(Data_Long_Form!$D:$D,Data_Long_Form!$C:$C,Data_Pivot_Table!$V66,Data_Long_Form!$A:$A,Data_Pivot_Table!Y$4))</f>
        <v>255.60551816236514</v>
      </c>
      <c r="Z66">
        <f>+IF(SUMIFS(Data_Long_Form!$D:$D,Data_Long_Form!$C:$C,Data_Pivot_Table!$V66,Data_Long_Form!$A:$A,Data_Pivot_Table!Z$4)=0,"",SUMIFS(Data_Long_Form!$D:$D,Data_Long_Form!$C:$C,Data_Pivot_Table!$V66,Data_Long_Form!$A:$A,Data_Pivot_Table!Z$4))</f>
        <v>502.17651621437392</v>
      </c>
      <c r="AA66">
        <f>+IF(SUMIFS(Data_Long_Form!$D:$D,Data_Long_Form!$C:$C,Data_Pivot_Table!$V66,Data_Long_Form!$A:$A,Data_Pivot_Table!AA$4)=0,"",SUMIFS(Data_Long_Form!$D:$D,Data_Long_Form!$C:$C,Data_Pivot_Table!$V66,Data_Long_Form!$A:$A,Data_Pivot_Table!AA$4))</f>
        <v>365.18030153980334</v>
      </c>
      <c r="AB66">
        <f>+IF(SUMIFS(Data_Long_Form!$D:$D,Data_Long_Form!$C:$C,Data_Pivot_Table!$V66,Data_Long_Form!$A:$A,Data_Pivot_Table!AB$4)=0,"",SUMIFS(Data_Long_Form!$D:$D,Data_Long_Form!$C:$C,Data_Pivot_Table!$V66,Data_Long_Form!$A:$A,Data_Pivot_Table!AB$4))</f>
        <v>546.1211813332402</v>
      </c>
      <c r="AC66">
        <f>+IF(SUMIFS(Data_Long_Form!$D:$D,Data_Long_Form!$C:$C,Data_Pivot_Table!$V66,Data_Long_Form!$A:$A,Data_Pivot_Table!AC$4)=0,"",SUMIFS(Data_Long_Form!$D:$D,Data_Long_Form!$C:$C,Data_Pivot_Table!$V66,Data_Long_Form!$A:$A,Data_Pivot_Table!AC$4))</f>
        <v>485.90388838809514</v>
      </c>
    </row>
    <row r="67" spans="1:29" x14ac:dyDescent="0.2">
      <c r="A67" s="5">
        <v>0.42276620370370371</v>
      </c>
      <c r="B67" s="4">
        <v>1</v>
      </c>
      <c r="C67" s="4"/>
      <c r="D67" s="4">
        <v>1</v>
      </c>
      <c r="E67" s="4"/>
      <c r="F67" s="4">
        <v>1</v>
      </c>
      <c r="G67" s="4">
        <v>1</v>
      </c>
      <c r="H67" s="4">
        <v>1</v>
      </c>
      <c r="I67" s="4">
        <v>5</v>
      </c>
      <c r="J67" s="4"/>
      <c r="K67">
        <v>0.42276620370370371</v>
      </c>
      <c r="L67">
        <v>1</v>
      </c>
      <c r="M67">
        <v>1</v>
      </c>
      <c r="N67">
        <v>1</v>
      </c>
      <c r="O67">
        <v>1</v>
      </c>
      <c r="Q67">
        <v>1</v>
      </c>
      <c r="S67">
        <v>5</v>
      </c>
      <c r="V67" s="8">
        <v>0.42276620370370371</v>
      </c>
      <c r="W67">
        <f>+IF(SUMIFS(Data_Long_Form!$D:$D,Data_Long_Form!$C:$C,Data_Pivot_Table!$V67,Data_Long_Form!$A:$A,Data_Pivot_Table!W$4)=0,"",SUMIFS(Data_Long_Form!$D:$D,Data_Long_Form!$C:$C,Data_Pivot_Table!$V67,Data_Long_Form!$A:$A,Data_Pivot_Table!W$4))</f>
        <v>381.20027455784412</v>
      </c>
      <c r="X67">
        <f>+IF(SUMIFS(Data_Long_Form!$D:$D,Data_Long_Form!$C:$C,Data_Pivot_Table!$V67,Data_Long_Form!$A:$A,Data_Pivot_Table!X$4)=0,"",SUMIFS(Data_Long_Form!$D:$D,Data_Long_Form!$C:$C,Data_Pivot_Table!$V67,Data_Long_Form!$A:$A,Data_Pivot_Table!X$4))</f>
        <v>403.22061105383688</v>
      </c>
      <c r="Y67">
        <f>+IF(SUMIFS(Data_Long_Form!$D:$D,Data_Long_Form!$C:$C,Data_Pivot_Table!$V67,Data_Long_Form!$A:$A,Data_Pivot_Table!Y$4)=0,"",SUMIFS(Data_Long_Form!$D:$D,Data_Long_Form!$C:$C,Data_Pivot_Table!$V67,Data_Long_Form!$A:$A,Data_Pivot_Table!Y$4))</f>
        <v>268.05994118924264</v>
      </c>
      <c r="Z67">
        <f>+IF(SUMIFS(Data_Long_Form!$D:$D,Data_Long_Form!$C:$C,Data_Pivot_Table!$V67,Data_Long_Form!$A:$A,Data_Pivot_Table!Z$4)=0,"",SUMIFS(Data_Long_Form!$D:$D,Data_Long_Form!$C:$C,Data_Pivot_Table!$V67,Data_Long_Form!$A:$A,Data_Pivot_Table!Z$4))</f>
        <v>510.95261816666914</v>
      </c>
      <c r="AA67" t="str">
        <f>+IF(SUMIFS(Data_Long_Form!$D:$D,Data_Long_Form!$C:$C,Data_Pivot_Table!$V67,Data_Long_Form!$A:$A,Data_Pivot_Table!AA$4)=0,"",SUMIFS(Data_Long_Form!$D:$D,Data_Long_Form!$C:$C,Data_Pivot_Table!$V67,Data_Long_Form!$A:$A,Data_Pivot_Table!AA$4))</f>
        <v/>
      </c>
      <c r="AB67">
        <f>+IF(SUMIFS(Data_Long_Form!$D:$D,Data_Long_Form!$C:$C,Data_Pivot_Table!$V67,Data_Long_Form!$A:$A,Data_Pivot_Table!AB$4)=0,"",SUMIFS(Data_Long_Form!$D:$D,Data_Long_Form!$C:$C,Data_Pivot_Table!$V67,Data_Long_Form!$A:$A,Data_Pivot_Table!AB$4))</f>
        <v>551.85635820219375</v>
      </c>
      <c r="AC67" t="str">
        <f>+IF(SUMIFS(Data_Long_Form!$D:$D,Data_Long_Form!$C:$C,Data_Pivot_Table!$V67,Data_Long_Form!$A:$A,Data_Pivot_Table!AC$4)=0,"",SUMIFS(Data_Long_Form!$D:$D,Data_Long_Form!$C:$C,Data_Pivot_Table!$V67,Data_Long_Form!$A:$A,Data_Pivot_Table!AC$4))</f>
        <v/>
      </c>
    </row>
    <row r="68" spans="1:29" x14ac:dyDescent="0.2">
      <c r="A68" s="5">
        <v>0.42277777777777775</v>
      </c>
      <c r="B68" s="4">
        <v>1</v>
      </c>
      <c r="C68" s="4"/>
      <c r="D68" s="4">
        <v>1</v>
      </c>
      <c r="E68" s="4"/>
      <c r="F68" s="4">
        <v>1</v>
      </c>
      <c r="G68" s="4">
        <v>1</v>
      </c>
      <c r="H68" s="4">
        <v>1</v>
      </c>
      <c r="I68" s="4">
        <v>5</v>
      </c>
      <c r="J68" s="4"/>
      <c r="K68">
        <v>0.42277777777777775</v>
      </c>
      <c r="L68">
        <v>1</v>
      </c>
      <c r="M68">
        <v>1</v>
      </c>
      <c r="N68">
        <v>1</v>
      </c>
      <c r="O68">
        <v>1</v>
      </c>
      <c r="Q68">
        <v>1</v>
      </c>
      <c r="S68">
        <v>5</v>
      </c>
      <c r="V68" s="8">
        <v>0.42277777777777775</v>
      </c>
      <c r="W68">
        <f>+IF(SUMIFS(Data_Long_Form!$D:$D,Data_Long_Form!$C:$C,Data_Pivot_Table!$V68,Data_Long_Form!$A:$A,Data_Pivot_Table!W$4)=0,"",SUMIFS(Data_Long_Form!$D:$D,Data_Long_Form!$C:$C,Data_Pivot_Table!$V68,Data_Long_Form!$A:$A,Data_Pivot_Table!W$4))</f>
        <v>382.24018544447648</v>
      </c>
      <c r="X68">
        <f>+IF(SUMIFS(Data_Long_Form!$D:$D,Data_Long_Form!$C:$C,Data_Pivot_Table!$V68,Data_Long_Form!$A:$A,Data_Pivot_Table!X$4)=0,"",SUMIFS(Data_Long_Form!$D:$D,Data_Long_Form!$C:$C,Data_Pivot_Table!$V68,Data_Long_Form!$A:$A,Data_Pivot_Table!X$4))</f>
        <v>404.02724952907545</v>
      </c>
      <c r="Y68">
        <f>+IF(SUMIFS(Data_Long_Form!$D:$D,Data_Long_Form!$C:$C,Data_Pivot_Table!$V68,Data_Long_Form!$A:$A,Data_Pivot_Table!Y$4)=0,"",SUMIFS(Data_Long_Form!$D:$D,Data_Long_Form!$C:$C,Data_Pivot_Table!$V68,Data_Long_Form!$A:$A,Data_Pivot_Table!Y$4))</f>
        <v>273.36109499504391</v>
      </c>
      <c r="Z68">
        <f>+IF(SUMIFS(Data_Long_Form!$D:$D,Data_Long_Form!$C:$C,Data_Pivot_Table!$V68,Data_Long_Form!$A:$A,Data_Pivot_Table!Z$4)=0,"",SUMIFS(Data_Long_Form!$D:$D,Data_Long_Form!$C:$C,Data_Pivot_Table!$V68,Data_Long_Form!$A:$A,Data_Pivot_Table!Z$4))</f>
        <v>502.79133084843875</v>
      </c>
      <c r="AA68" t="str">
        <f>+IF(SUMIFS(Data_Long_Form!$D:$D,Data_Long_Form!$C:$C,Data_Pivot_Table!$V68,Data_Long_Form!$A:$A,Data_Pivot_Table!AA$4)=0,"",SUMIFS(Data_Long_Form!$D:$D,Data_Long_Form!$C:$C,Data_Pivot_Table!$V68,Data_Long_Form!$A:$A,Data_Pivot_Table!AA$4))</f>
        <v/>
      </c>
      <c r="AB68">
        <f>+IF(SUMIFS(Data_Long_Form!$D:$D,Data_Long_Form!$C:$C,Data_Pivot_Table!$V68,Data_Long_Form!$A:$A,Data_Pivot_Table!AB$4)=0,"",SUMIFS(Data_Long_Form!$D:$D,Data_Long_Form!$C:$C,Data_Pivot_Table!$V68,Data_Long_Form!$A:$A,Data_Pivot_Table!AB$4))</f>
        <v>536.31260852306195</v>
      </c>
      <c r="AC68" t="str">
        <f>+IF(SUMIFS(Data_Long_Form!$D:$D,Data_Long_Form!$C:$C,Data_Pivot_Table!$V68,Data_Long_Form!$A:$A,Data_Pivot_Table!AC$4)=0,"",SUMIFS(Data_Long_Form!$D:$D,Data_Long_Form!$C:$C,Data_Pivot_Table!$V68,Data_Long_Form!$A:$A,Data_Pivot_Table!AC$4))</f>
        <v/>
      </c>
    </row>
    <row r="69" spans="1:29" x14ac:dyDescent="0.2">
      <c r="A69" s="5">
        <v>0.42278935185185185</v>
      </c>
      <c r="B69" s="4"/>
      <c r="C69" s="4"/>
      <c r="D69" s="4"/>
      <c r="E69" s="4"/>
      <c r="F69" s="4"/>
      <c r="G69" s="4">
        <v>1</v>
      </c>
      <c r="H69" s="4"/>
      <c r="I69" s="4">
        <v>1</v>
      </c>
      <c r="J69" s="4"/>
      <c r="K69">
        <v>0.42278935185185185</v>
      </c>
      <c r="M69">
        <v>1</v>
      </c>
      <c r="S69">
        <v>1</v>
      </c>
      <c r="V69" s="8">
        <v>0.42278935185185185</v>
      </c>
      <c r="W69" t="str">
        <f>+IF(SUMIFS(Data_Long_Form!$D:$D,Data_Long_Form!$C:$C,Data_Pivot_Table!$V69,Data_Long_Form!$A:$A,Data_Pivot_Table!W$4)=0,"",SUMIFS(Data_Long_Form!$D:$D,Data_Long_Form!$C:$C,Data_Pivot_Table!$V69,Data_Long_Form!$A:$A,Data_Pivot_Table!W$4))</f>
        <v/>
      </c>
      <c r="X69">
        <f>+IF(SUMIFS(Data_Long_Form!$D:$D,Data_Long_Form!$C:$C,Data_Pivot_Table!$V69,Data_Long_Form!$A:$A,Data_Pivot_Table!X$4)=0,"",SUMIFS(Data_Long_Form!$D:$D,Data_Long_Form!$C:$C,Data_Pivot_Table!$V69,Data_Long_Form!$A:$A,Data_Pivot_Table!X$4))</f>
        <v>434.32222357186555</v>
      </c>
      <c r="Y69" t="str">
        <f>+IF(SUMIFS(Data_Long_Form!$D:$D,Data_Long_Form!$C:$C,Data_Pivot_Table!$V69,Data_Long_Form!$A:$A,Data_Pivot_Table!Y$4)=0,"",SUMIFS(Data_Long_Form!$D:$D,Data_Long_Form!$C:$C,Data_Pivot_Table!$V69,Data_Long_Form!$A:$A,Data_Pivot_Table!Y$4))</f>
        <v/>
      </c>
      <c r="Z69" t="str">
        <f>+IF(SUMIFS(Data_Long_Form!$D:$D,Data_Long_Form!$C:$C,Data_Pivot_Table!$V69,Data_Long_Form!$A:$A,Data_Pivot_Table!Z$4)=0,"",SUMIFS(Data_Long_Form!$D:$D,Data_Long_Form!$C:$C,Data_Pivot_Table!$V69,Data_Long_Form!$A:$A,Data_Pivot_Table!Z$4))</f>
        <v/>
      </c>
      <c r="AA69" t="str">
        <f>+IF(SUMIFS(Data_Long_Form!$D:$D,Data_Long_Form!$C:$C,Data_Pivot_Table!$V69,Data_Long_Form!$A:$A,Data_Pivot_Table!AA$4)=0,"",SUMIFS(Data_Long_Form!$D:$D,Data_Long_Form!$C:$C,Data_Pivot_Table!$V69,Data_Long_Form!$A:$A,Data_Pivot_Table!AA$4))</f>
        <v/>
      </c>
      <c r="AB69" t="str">
        <f>+IF(SUMIFS(Data_Long_Form!$D:$D,Data_Long_Form!$C:$C,Data_Pivot_Table!$V69,Data_Long_Form!$A:$A,Data_Pivot_Table!AB$4)=0,"",SUMIFS(Data_Long_Form!$D:$D,Data_Long_Form!$C:$C,Data_Pivot_Table!$V69,Data_Long_Form!$A:$A,Data_Pivot_Table!AB$4))</f>
        <v/>
      </c>
      <c r="AC69" t="str">
        <f>+IF(SUMIFS(Data_Long_Form!$D:$D,Data_Long_Form!$C:$C,Data_Pivot_Table!$V69,Data_Long_Form!$A:$A,Data_Pivot_Table!AC$4)=0,"",SUMIFS(Data_Long_Form!$D:$D,Data_Long_Form!$C:$C,Data_Pivot_Table!$V69,Data_Long_Form!$A:$A,Data_Pivot_Table!AC$4))</f>
        <v/>
      </c>
    </row>
    <row r="70" spans="1:29" x14ac:dyDescent="0.2">
      <c r="A70" s="5">
        <v>0.42280092592592594</v>
      </c>
      <c r="B70" s="4">
        <v>1</v>
      </c>
      <c r="C70" s="4"/>
      <c r="D70" s="4"/>
      <c r="E70" s="4"/>
      <c r="F70" s="4"/>
      <c r="G70" s="4">
        <v>1</v>
      </c>
      <c r="H70" s="4"/>
      <c r="I70" s="4">
        <v>2</v>
      </c>
      <c r="J70" s="4"/>
      <c r="K70">
        <v>0.42280092592592594</v>
      </c>
      <c r="M70">
        <v>1</v>
      </c>
      <c r="O70">
        <v>1</v>
      </c>
      <c r="S70">
        <v>2</v>
      </c>
      <c r="V70" s="8">
        <v>0.42280092592592594</v>
      </c>
      <c r="W70" t="str">
        <f>+IF(SUMIFS(Data_Long_Form!$D:$D,Data_Long_Form!$C:$C,Data_Pivot_Table!$V70,Data_Long_Form!$A:$A,Data_Pivot_Table!W$4)=0,"",SUMIFS(Data_Long_Form!$D:$D,Data_Long_Form!$C:$C,Data_Pivot_Table!$V70,Data_Long_Form!$A:$A,Data_Pivot_Table!W$4))</f>
        <v/>
      </c>
      <c r="X70">
        <f>+IF(SUMIFS(Data_Long_Form!$D:$D,Data_Long_Form!$C:$C,Data_Pivot_Table!$V70,Data_Long_Form!$A:$A,Data_Pivot_Table!X$4)=0,"",SUMIFS(Data_Long_Form!$D:$D,Data_Long_Form!$C:$C,Data_Pivot_Table!$V70,Data_Long_Form!$A:$A,Data_Pivot_Table!X$4))</f>
        <v>410.37903458441417</v>
      </c>
      <c r="Y70" t="str">
        <f>+IF(SUMIFS(Data_Long_Form!$D:$D,Data_Long_Form!$C:$C,Data_Pivot_Table!$V70,Data_Long_Form!$A:$A,Data_Pivot_Table!Y$4)=0,"",SUMIFS(Data_Long_Form!$D:$D,Data_Long_Form!$C:$C,Data_Pivot_Table!$V70,Data_Long_Form!$A:$A,Data_Pivot_Table!Y$4))</f>
        <v/>
      </c>
      <c r="Z70">
        <f>+IF(SUMIFS(Data_Long_Form!$D:$D,Data_Long_Form!$C:$C,Data_Pivot_Table!$V70,Data_Long_Form!$A:$A,Data_Pivot_Table!Z$4)=0,"",SUMIFS(Data_Long_Form!$D:$D,Data_Long_Form!$C:$C,Data_Pivot_Table!$V70,Data_Long_Form!$A:$A,Data_Pivot_Table!Z$4))</f>
        <v>466.42418329123035</v>
      </c>
      <c r="AA70" t="str">
        <f>+IF(SUMIFS(Data_Long_Form!$D:$D,Data_Long_Form!$C:$C,Data_Pivot_Table!$V70,Data_Long_Form!$A:$A,Data_Pivot_Table!AA$4)=0,"",SUMIFS(Data_Long_Form!$D:$D,Data_Long_Form!$C:$C,Data_Pivot_Table!$V70,Data_Long_Form!$A:$A,Data_Pivot_Table!AA$4))</f>
        <v/>
      </c>
      <c r="AB70" t="str">
        <f>+IF(SUMIFS(Data_Long_Form!$D:$D,Data_Long_Form!$C:$C,Data_Pivot_Table!$V70,Data_Long_Form!$A:$A,Data_Pivot_Table!AB$4)=0,"",SUMIFS(Data_Long_Form!$D:$D,Data_Long_Form!$C:$C,Data_Pivot_Table!$V70,Data_Long_Form!$A:$A,Data_Pivot_Table!AB$4))</f>
        <v/>
      </c>
      <c r="AC70" t="str">
        <f>+IF(SUMIFS(Data_Long_Form!$D:$D,Data_Long_Form!$C:$C,Data_Pivot_Table!$V70,Data_Long_Form!$A:$A,Data_Pivot_Table!AC$4)=0,"",SUMIFS(Data_Long_Form!$D:$D,Data_Long_Form!$C:$C,Data_Pivot_Table!$V70,Data_Long_Form!$A:$A,Data_Pivot_Table!AC$4))</f>
        <v/>
      </c>
    </row>
    <row r="71" spans="1:29" x14ac:dyDescent="0.2">
      <c r="A71" s="5">
        <v>0.42281249999999998</v>
      </c>
      <c r="B71" s="4">
        <v>1</v>
      </c>
      <c r="C71" s="4"/>
      <c r="D71" s="4"/>
      <c r="E71" s="4"/>
      <c r="F71" s="4"/>
      <c r="G71" s="4">
        <v>1</v>
      </c>
      <c r="H71" s="4"/>
      <c r="I71" s="4">
        <v>2</v>
      </c>
      <c r="J71" s="4"/>
      <c r="K71">
        <v>0.42281249999999998</v>
      </c>
      <c r="M71">
        <v>1</v>
      </c>
      <c r="O71">
        <v>1</v>
      </c>
      <c r="S71">
        <v>2</v>
      </c>
      <c r="V71" s="8">
        <v>0.42281249999999998</v>
      </c>
      <c r="W71" t="str">
        <f>+IF(SUMIFS(Data_Long_Form!$D:$D,Data_Long_Form!$C:$C,Data_Pivot_Table!$V71,Data_Long_Form!$A:$A,Data_Pivot_Table!W$4)=0,"",SUMIFS(Data_Long_Form!$D:$D,Data_Long_Form!$C:$C,Data_Pivot_Table!$V71,Data_Long_Form!$A:$A,Data_Pivot_Table!W$4))</f>
        <v/>
      </c>
      <c r="X71">
        <f>+IF(SUMIFS(Data_Long_Form!$D:$D,Data_Long_Form!$C:$C,Data_Pivot_Table!$V71,Data_Long_Form!$A:$A,Data_Pivot_Table!X$4)=0,"",SUMIFS(Data_Long_Form!$D:$D,Data_Long_Form!$C:$C,Data_Pivot_Table!$V71,Data_Long_Form!$A:$A,Data_Pivot_Table!X$4))</f>
        <v>402.10946629384603</v>
      </c>
      <c r="Y71" t="str">
        <f>+IF(SUMIFS(Data_Long_Form!$D:$D,Data_Long_Form!$C:$C,Data_Pivot_Table!$V71,Data_Long_Form!$A:$A,Data_Pivot_Table!Y$4)=0,"",SUMIFS(Data_Long_Form!$D:$D,Data_Long_Form!$C:$C,Data_Pivot_Table!$V71,Data_Long_Form!$A:$A,Data_Pivot_Table!Y$4))</f>
        <v/>
      </c>
      <c r="Z71">
        <f>+IF(SUMIFS(Data_Long_Form!$D:$D,Data_Long_Form!$C:$C,Data_Pivot_Table!$V71,Data_Long_Form!$A:$A,Data_Pivot_Table!Z$4)=0,"",SUMIFS(Data_Long_Form!$D:$D,Data_Long_Form!$C:$C,Data_Pivot_Table!$V71,Data_Long_Form!$A:$A,Data_Pivot_Table!Z$4))</f>
        <v>442.37819079847804</v>
      </c>
      <c r="AA71" t="str">
        <f>+IF(SUMIFS(Data_Long_Form!$D:$D,Data_Long_Form!$C:$C,Data_Pivot_Table!$V71,Data_Long_Form!$A:$A,Data_Pivot_Table!AA$4)=0,"",SUMIFS(Data_Long_Form!$D:$D,Data_Long_Form!$C:$C,Data_Pivot_Table!$V71,Data_Long_Form!$A:$A,Data_Pivot_Table!AA$4))</f>
        <v/>
      </c>
      <c r="AB71" t="str">
        <f>+IF(SUMIFS(Data_Long_Form!$D:$D,Data_Long_Form!$C:$C,Data_Pivot_Table!$V71,Data_Long_Form!$A:$A,Data_Pivot_Table!AB$4)=0,"",SUMIFS(Data_Long_Form!$D:$D,Data_Long_Form!$C:$C,Data_Pivot_Table!$V71,Data_Long_Form!$A:$A,Data_Pivot_Table!AB$4))</f>
        <v/>
      </c>
      <c r="AC71" t="str">
        <f>+IF(SUMIFS(Data_Long_Form!$D:$D,Data_Long_Form!$C:$C,Data_Pivot_Table!$V71,Data_Long_Form!$A:$A,Data_Pivot_Table!AC$4)=0,"",SUMIFS(Data_Long_Form!$D:$D,Data_Long_Form!$C:$C,Data_Pivot_Table!$V71,Data_Long_Form!$A:$A,Data_Pivot_Table!AC$4))</f>
        <v/>
      </c>
    </row>
    <row r="72" spans="1:29" x14ac:dyDescent="0.2">
      <c r="A72" s="5">
        <v>0.42282407407407407</v>
      </c>
      <c r="B72" s="4">
        <v>1</v>
      </c>
      <c r="C72" s="4"/>
      <c r="D72" s="4"/>
      <c r="E72" s="4"/>
      <c r="F72" s="4"/>
      <c r="G72" s="4">
        <v>1</v>
      </c>
      <c r="H72" s="4"/>
      <c r="I72" s="4">
        <v>2</v>
      </c>
      <c r="J72" s="4"/>
      <c r="K72">
        <v>0.42282407407407407</v>
      </c>
      <c r="M72">
        <v>1</v>
      </c>
      <c r="O72">
        <v>1</v>
      </c>
      <c r="S72">
        <v>2</v>
      </c>
      <c r="V72" s="8">
        <v>0.42282407407407407</v>
      </c>
      <c r="W72" t="str">
        <f>+IF(SUMIFS(Data_Long_Form!$D:$D,Data_Long_Form!$C:$C,Data_Pivot_Table!$V72,Data_Long_Form!$A:$A,Data_Pivot_Table!W$4)=0,"",SUMIFS(Data_Long_Form!$D:$D,Data_Long_Form!$C:$C,Data_Pivot_Table!$V72,Data_Long_Form!$A:$A,Data_Pivot_Table!W$4))</f>
        <v/>
      </c>
      <c r="X72">
        <f>+IF(SUMIFS(Data_Long_Form!$D:$D,Data_Long_Form!$C:$C,Data_Pivot_Table!$V72,Data_Long_Form!$A:$A,Data_Pivot_Table!X$4)=0,"",SUMIFS(Data_Long_Form!$D:$D,Data_Long_Form!$C:$C,Data_Pivot_Table!$V72,Data_Long_Form!$A:$A,Data_Pivot_Table!X$4))</f>
        <v>386.6238806494859</v>
      </c>
      <c r="Y72" t="str">
        <f>+IF(SUMIFS(Data_Long_Form!$D:$D,Data_Long_Form!$C:$C,Data_Pivot_Table!$V72,Data_Long_Form!$A:$A,Data_Pivot_Table!Y$4)=0,"",SUMIFS(Data_Long_Form!$D:$D,Data_Long_Form!$C:$C,Data_Pivot_Table!$V72,Data_Long_Form!$A:$A,Data_Pivot_Table!Y$4))</f>
        <v/>
      </c>
      <c r="Z72">
        <f>+IF(SUMIFS(Data_Long_Form!$D:$D,Data_Long_Form!$C:$C,Data_Pivot_Table!$V72,Data_Long_Form!$A:$A,Data_Pivot_Table!Z$4)=0,"",SUMIFS(Data_Long_Form!$D:$D,Data_Long_Form!$C:$C,Data_Pivot_Table!$V72,Data_Long_Form!$A:$A,Data_Pivot_Table!Z$4))</f>
        <v>447.28915783651667</v>
      </c>
      <c r="AA72" t="str">
        <f>+IF(SUMIFS(Data_Long_Form!$D:$D,Data_Long_Form!$C:$C,Data_Pivot_Table!$V72,Data_Long_Form!$A:$A,Data_Pivot_Table!AA$4)=0,"",SUMIFS(Data_Long_Form!$D:$D,Data_Long_Form!$C:$C,Data_Pivot_Table!$V72,Data_Long_Form!$A:$A,Data_Pivot_Table!AA$4))</f>
        <v/>
      </c>
      <c r="AB72" t="str">
        <f>+IF(SUMIFS(Data_Long_Form!$D:$D,Data_Long_Form!$C:$C,Data_Pivot_Table!$V72,Data_Long_Form!$A:$A,Data_Pivot_Table!AB$4)=0,"",SUMIFS(Data_Long_Form!$D:$D,Data_Long_Form!$C:$C,Data_Pivot_Table!$V72,Data_Long_Form!$A:$A,Data_Pivot_Table!AB$4))</f>
        <v/>
      </c>
      <c r="AC72" t="str">
        <f>+IF(SUMIFS(Data_Long_Form!$D:$D,Data_Long_Form!$C:$C,Data_Pivot_Table!$V72,Data_Long_Form!$A:$A,Data_Pivot_Table!AC$4)=0,"",SUMIFS(Data_Long_Form!$D:$D,Data_Long_Form!$C:$C,Data_Pivot_Table!$V72,Data_Long_Form!$A:$A,Data_Pivot_Table!AC$4))</f>
        <v/>
      </c>
    </row>
    <row r="73" spans="1:29" x14ac:dyDescent="0.2">
      <c r="A73" s="5">
        <v>0.42283564814814817</v>
      </c>
      <c r="B73" s="4">
        <v>1</v>
      </c>
      <c r="C73" s="4"/>
      <c r="D73" s="4"/>
      <c r="E73" s="4"/>
      <c r="F73" s="4">
        <v>1</v>
      </c>
      <c r="G73" s="4">
        <v>1</v>
      </c>
      <c r="H73" s="4"/>
      <c r="I73" s="4">
        <v>3</v>
      </c>
      <c r="J73" s="4"/>
      <c r="K73">
        <v>0.42283564814814817</v>
      </c>
      <c r="L73">
        <v>1</v>
      </c>
      <c r="M73">
        <v>1</v>
      </c>
      <c r="O73">
        <v>1</v>
      </c>
      <c r="S73">
        <v>3</v>
      </c>
      <c r="V73" s="8">
        <v>0.42283564814814817</v>
      </c>
      <c r="W73">
        <f>+IF(SUMIFS(Data_Long_Form!$D:$D,Data_Long_Form!$C:$C,Data_Pivot_Table!$V73,Data_Long_Form!$A:$A,Data_Pivot_Table!W$4)=0,"",SUMIFS(Data_Long_Form!$D:$D,Data_Long_Form!$C:$C,Data_Pivot_Table!$V73,Data_Long_Form!$A:$A,Data_Pivot_Table!W$4))</f>
        <v>330.63830688633368</v>
      </c>
      <c r="X73">
        <f>+IF(SUMIFS(Data_Long_Form!$D:$D,Data_Long_Form!$C:$C,Data_Pivot_Table!$V73,Data_Long_Form!$A:$A,Data_Pivot_Table!X$4)=0,"",SUMIFS(Data_Long_Form!$D:$D,Data_Long_Form!$C:$C,Data_Pivot_Table!$V73,Data_Long_Form!$A:$A,Data_Pivot_Table!X$4))</f>
        <v>369.38593342085471</v>
      </c>
      <c r="Y73" t="str">
        <f>+IF(SUMIFS(Data_Long_Form!$D:$D,Data_Long_Form!$C:$C,Data_Pivot_Table!$V73,Data_Long_Form!$A:$A,Data_Pivot_Table!Y$4)=0,"",SUMIFS(Data_Long_Form!$D:$D,Data_Long_Form!$C:$C,Data_Pivot_Table!$V73,Data_Long_Form!$A:$A,Data_Pivot_Table!Y$4))</f>
        <v/>
      </c>
      <c r="Z73">
        <f>+IF(SUMIFS(Data_Long_Form!$D:$D,Data_Long_Form!$C:$C,Data_Pivot_Table!$V73,Data_Long_Form!$A:$A,Data_Pivot_Table!Z$4)=0,"",SUMIFS(Data_Long_Form!$D:$D,Data_Long_Form!$C:$C,Data_Pivot_Table!$V73,Data_Long_Form!$A:$A,Data_Pivot_Table!Z$4))</f>
        <v>458.00184477098139</v>
      </c>
      <c r="AA73" t="str">
        <f>+IF(SUMIFS(Data_Long_Form!$D:$D,Data_Long_Form!$C:$C,Data_Pivot_Table!$V73,Data_Long_Form!$A:$A,Data_Pivot_Table!AA$4)=0,"",SUMIFS(Data_Long_Form!$D:$D,Data_Long_Form!$C:$C,Data_Pivot_Table!$V73,Data_Long_Form!$A:$A,Data_Pivot_Table!AA$4))</f>
        <v/>
      </c>
      <c r="AB73" t="str">
        <f>+IF(SUMIFS(Data_Long_Form!$D:$D,Data_Long_Form!$C:$C,Data_Pivot_Table!$V73,Data_Long_Form!$A:$A,Data_Pivot_Table!AB$4)=0,"",SUMIFS(Data_Long_Form!$D:$D,Data_Long_Form!$C:$C,Data_Pivot_Table!$V73,Data_Long_Form!$A:$A,Data_Pivot_Table!AB$4))</f>
        <v/>
      </c>
      <c r="AC73" t="str">
        <f>+IF(SUMIFS(Data_Long_Form!$D:$D,Data_Long_Form!$C:$C,Data_Pivot_Table!$V73,Data_Long_Form!$A:$A,Data_Pivot_Table!AC$4)=0,"",SUMIFS(Data_Long_Form!$D:$D,Data_Long_Form!$C:$C,Data_Pivot_Table!$V73,Data_Long_Form!$A:$A,Data_Pivot_Table!AC$4))</f>
        <v/>
      </c>
    </row>
    <row r="74" spans="1:29" x14ac:dyDescent="0.2">
      <c r="A74" s="5">
        <v>0.42284722222222221</v>
      </c>
      <c r="B74" s="4">
        <v>1</v>
      </c>
      <c r="C74" s="4"/>
      <c r="D74" s="4"/>
      <c r="E74" s="4"/>
      <c r="F74" s="4">
        <v>1</v>
      </c>
      <c r="G74" s="4">
        <v>1</v>
      </c>
      <c r="H74" s="4"/>
      <c r="I74" s="4">
        <v>3</v>
      </c>
      <c r="J74" s="4"/>
      <c r="K74">
        <v>0.42284722222222221</v>
      </c>
      <c r="L74">
        <v>1</v>
      </c>
      <c r="M74">
        <v>1</v>
      </c>
      <c r="O74">
        <v>1</v>
      </c>
      <c r="S74">
        <v>3</v>
      </c>
      <c r="V74" s="8">
        <v>0.42284722222222221</v>
      </c>
      <c r="W74">
        <f>+IF(SUMIFS(Data_Long_Form!$D:$D,Data_Long_Form!$C:$C,Data_Pivot_Table!$V74,Data_Long_Form!$A:$A,Data_Pivot_Table!W$4)=0,"",SUMIFS(Data_Long_Form!$D:$D,Data_Long_Form!$C:$C,Data_Pivot_Table!$V74,Data_Long_Form!$A:$A,Data_Pivot_Table!W$4))</f>
        <v>346.35788615321758</v>
      </c>
      <c r="X74">
        <f>+IF(SUMIFS(Data_Long_Form!$D:$D,Data_Long_Form!$C:$C,Data_Pivot_Table!$V74,Data_Long_Form!$A:$A,Data_Pivot_Table!X$4)=0,"",SUMIFS(Data_Long_Form!$D:$D,Data_Long_Form!$C:$C,Data_Pivot_Table!$V74,Data_Long_Form!$A:$A,Data_Pivot_Table!X$4))</f>
        <v>368.97553831893333</v>
      </c>
      <c r="Y74" t="str">
        <f>+IF(SUMIFS(Data_Long_Form!$D:$D,Data_Long_Form!$C:$C,Data_Pivot_Table!$V74,Data_Long_Form!$A:$A,Data_Pivot_Table!Y$4)=0,"",SUMIFS(Data_Long_Form!$D:$D,Data_Long_Form!$C:$C,Data_Pivot_Table!$V74,Data_Long_Form!$A:$A,Data_Pivot_Table!Y$4))</f>
        <v/>
      </c>
      <c r="Z74">
        <f>+IF(SUMIFS(Data_Long_Form!$D:$D,Data_Long_Form!$C:$C,Data_Pivot_Table!$V74,Data_Long_Form!$A:$A,Data_Pivot_Table!Z$4)=0,"",SUMIFS(Data_Long_Form!$D:$D,Data_Long_Form!$C:$C,Data_Pivot_Table!$V74,Data_Long_Form!$A:$A,Data_Pivot_Table!Z$4))</f>
        <v>443.57761621691191</v>
      </c>
      <c r="AA74" t="str">
        <f>+IF(SUMIFS(Data_Long_Form!$D:$D,Data_Long_Form!$C:$C,Data_Pivot_Table!$V74,Data_Long_Form!$A:$A,Data_Pivot_Table!AA$4)=0,"",SUMIFS(Data_Long_Form!$D:$D,Data_Long_Form!$C:$C,Data_Pivot_Table!$V74,Data_Long_Form!$A:$A,Data_Pivot_Table!AA$4))</f>
        <v/>
      </c>
      <c r="AB74" t="str">
        <f>+IF(SUMIFS(Data_Long_Form!$D:$D,Data_Long_Form!$C:$C,Data_Pivot_Table!$V74,Data_Long_Form!$A:$A,Data_Pivot_Table!AB$4)=0,"",SUMIFS(Data_Long_Form!$D:$D,Data_Long_Form!$C:$C,Data_Pivot_Table!$V74,Data_Long_Form!$A:$A,Data_Pivot_Table!AB$4))</f>
        <v/>
      </c>
      <c r="AC74" t="str">
        <f>+IF(SUMIFS(Data_Long_Form!$D:$D,Data_Long_Form!$C:$C,Data_Pivot_Table!$V74,Data_Long_Form!$A:$A,Data_Pivot_Table!AC$4)=0,"",SUMIFS(Data_Long_Form!$D:$D,Data_Long_Form!$C:$C,Data_Pivot_Table!$V74,Data_Long_Form!$A:$A,Data_Pivot_Table!AC$4))</f>
        <v/>
      </c>
    </row>
    <row r="75" spans="1:29" x14ac:dyDescent="0.2">
      <c r="A75" s="5">
        <v>0.4228587962962963</v>
      </c>
      <c r="B75" s="4"/>
      <c r="C75" s="4"/>
      <c r="D75" s="4"/>
      <c r="E75" s="4"/>
      <c r="F75" s="4"/>
      <c r="G75" s="4">
        <v>1</v>
      </c>
      <c r="H75" s="4"/>
      <c r="I75" s="4">
        <v>1</v>
      </c>
      <c r="J75" s="4"/>
      <c r="K75">
        <v>0.4228587962962963</v>
      </c>
      <c r="M75">
        <v>1</v>
      </c>
      <c r="S75">
        <v>1</v>
      </c>
      <c r="V75" s="8">
        <v>0.4228587962962963</v>
      </c>
      <c r="W75" t="str">
        <f>+IF(SUMIFS(Data_Long_Form!$D:$D,Data_Long_Form!$C:$C,Data_Pivot_Table!$V75,Data_Long_Form!$A:$A,Data_Pivot_Table!W$4)=0,"",SUMIFS(Data_Long_Form!$D:$D,Data_Long_Form!$C:$C,Data_Pivot_Table!$V75,Data_Long_Form!$A:$A,Data_Pivot_Table!W$4))</f>
        <v/>
      </c>
      <c r="X75">
        <f>+IF(SUMIFS(Data_Long_Form!$D:$D,Data_Long_Form!$C:$C,Data_Pivot_Table!$V75,Data_Long_Form!$A:$A,Data_Pivot_Table!X$4)=0,"",SUMIFS(Data_Long_Form!$D:$D,Data_Long_Form!$C:$C,Data_Pivot_Table!$V75,Data_Long_Form!$A:$A,Data_Pivot_Table!X$4))</f>
        <v>434.08119869526899</v>
      </c>
      <c r="Y75" t="str">
        <f>+IF(SUMIFS(Data_Long_Form!$D:$D,Data_Long_Form!$C:$C,Data_Pivot_Table!$V75,Data_Long_Form!$A:$A,Data_Pivot_Table!Y$4)=0,"",SUMIFS(Data_Long_Form!$D:$D,Data_Long_Form!$C:$C,Data_Pivot_Table!$V75,Data_Long_Form!$A:$A,Data_Pivot_Table!Y$4))</f>
        <v/>
      </c>
      <c r="Z75" t="str">
        <f>+IF(SUMIFS(Data_Long_Form!$D:$D,Data_Long_Form!$C:$C,Data_Pivot_Table!$V75,Data_Long_Form!$A:$A,Data_Pivot_Table!Z$4)=0,"",SUMIFS(Data_Long_Form!$D:$D,Data_Long_Form!$C:$C,Data_Pivot_Table!$V75,Data_Long_Form!$A:$A,Data_Pivot_Table!Z$4))</f>
        <v/>
      </c>
      <c r="AA75" t="str">
        <f>+IF(SUMIFS(Data_Long_Form!$D:$D,Data_Long_Form!$C:$C,Data_Pivot_Table!$V75,Data_Long_Form!$A:$A,Data_Pivot_Table!AA$4)=0,"",SUMIFS(Data_Long_Form!$D:$D,Data_Long_Form!$C:$C,Data_Pivot_Table!$V75,Data_Long_Form!$A:$A,Data_Pivot_Table!AA$4))</f>
        <v/>
      </c>
      <c r="AB75" t="str">
        <f>+IF(SUMIFS(Data_Long_Form!$D:$D,Data_Long_Form!$C:$C,Data_Pivot_Table!$V75,Data_Long_Form!$A:$A,Data_Pivot_Table!AB$4)=0,"",SUMIFS(Data_Long_Form!$D:$D,Data_Long_Form!$C:$C,Data_Pivot_Table!$V75,Data_Long_Form!$A:$A,Data_Pivot_Table!AB$4))</f>
        <v/>
      </c>
      <c r="AC75" t="str">
        <f>+IF(SUMIFS(Data_Long_Form!$D:$D,Data_Long_Form!$C:$C,Data_Pivot_Table!$V75,Data_Long_Form!$A:$A,Data_Pivot_Table!AC$4)=0,"",SUMIFS(Data_Long_Form!$D:$D,Data_Long_Form!$C:$C,Data_Pivot_Table!$V75,Data_Long_Form!$A:$A,Data_Pivot_Table!AC$4))</f>
        <v/>
      </c>
    </row>
    <row r="76" spans="1:29" x14ac:dyDescent="0.2">
      <c r="A76" s="5">
        <v>0.42289351851851853</v>
      </c>
      <c r="B76" s="4"/>
      <c r="C76" s="4"/>
      <c r="D76" s="4"/>
      <c r="E76" s="4"/>
      <c r="F76" s="4"/>
      <c r="G76" s="4">
        <v>1</v>
      </c>
      <c r="H76" s="4"/>
      <c r="I76" s="4">
        <v>1</v>
      </c>
      <c r="J76" s="4"/>
      <c r="K76">
        <v>0.42289351851851853</v>
      </c>
      <c r="M76">
        <v>1</v>
      </c>
      <c r="S76">
        <v>1</v>
      </c>
      <c r="V76" s="8">
        <v>0.42289351851851853</v>
      </c>
      <c r="W76" t="str">
        <f>+IF(SUMIFS(Data_Long_Form!$D:$D,Data_Long_Form!$C:$C,Data_Pivot_Table!$V76,Data_Long_Form!$A:$A,Data_Pivot_Table!W$4)=0,"",SUMIFS(Data_Long_Form!$D:$D,Data_Long_Form!$C:$C,Data_Pivot_Table!$V76,Data_Long_Form!$A:$A,Data_Pivot_Table!W$4))</f>
        <v/>
      </c>
      <c r="X76">
        <f>+IF(SUMIFS(Data_Long_Form!$D:$D,Data_Long_Form!$C:$C,Data_Pivot_Table!$V76,Data_Long_Form!$A:$A,Data_Pivot_Table!X$4)=0,"",SUMIFS(Data_Long_Form!$D:$D,Data_Long_Form!$C:$C,Data_Pivot_Table!$V76,Data_Long_Form!$A:$A,Data_Pivot_Table!X$4))</f>
        <v>438.19081735079328</v>
      </c>
      <c r="Y76" t="str">
        <f>+IF(SUMIFS(Data_Long_Form!$D:$D,Data_Long_Form!$C:$C,Data_Pivot_Table!$V76,Data_Long_Form!$A:$A,Data_Pivot_Table!Y$4)=0,"",SUMIFS(Data_Long_Form!$D:$D,Data_Long_Form!$C:$C,Data_Pivot_Table!$V76,Data_Long_Form!$A:$A,Data_Pivot_Table!Y$4))</f>
        <v/>
      </c>
      <c r="Z76" t="str">
        <f>+IF(SUMIFS(Data_Long_Form!$D:$D,Data_Long_Form!$C:$C,Data_Pivot_Table!$V76,Data_Long_Form!$A:$A,Data_Pivot_Table!Z$4)=0,"",SUMIFS(Data_Long_Form!$D:$D,Data_Long_Form!$C:$C,Data_Pivot_Table!$V76,Data_Long_Form!$A:$A,Data_Pivot_Table!Z$4))</f>
        <v/>
      </c>
      <c r="AA76" t="str">
        <f>+IF(SUMIFS(Data_Long_Form!$D:$D,Data_Long_Form!$C:$C,Data_Pivot_Table!$V76,Data_Long_Form!$A:$A,Data_Pivot_Table!AA$4)=0,"",SUMIFS(Data_Long_Form!$D:$D,Data_Long_Form!$C:$C,Data_Pivot_Table!$V76,Data_Long_Form!$A:$A,Data_Pivot_Table!AA$4))</f>
        <v/>
      </c>
      <c r="AB76" t="str">
        <f>+IF(SUMIFS(Data_Long_Form!$D:$D,Data_Long_Form!$C:$C,Data_Pivot_Table!$V76,Data_Long_Form!$A:$A,Data_Pivot_Table!AB$4)=0,"",SUMIFS(Data_Long_Form!$D:$D,Data_Long_Form!$C:$C,Data_Pivot_Table!$V76,Data_Long_Form!$A:$A,Data_Pivot_Table!AB$4))</f>
        <v/>
      </c>
      <c r="AC76" t="str">
        <f>+IF(SUMIFS(Data_Long_Form!$D:$D,Data_Long_Form!$C:$C,Data_Pivot_Table!$V76,Data_Long_Form!$A:$A,Data_Pivot_Table!AC$4)=0,"",SUMIFS(Data_Long_Form!$D:$D,Data_Long_Form!$C:$C,Data_Pivot_Table!$V76,Data_Long_Form!$A:$A,Data_Pivot_Table!AC$4))</f>
        <v/>
      </c>
    </row>
    <row r="77" spans="1:29" x14ac:dyDescent="0.2">
      <c r="A77" s="5">
        <v>0.42295138888888889</v>
      </c>
      <c r="B77" s="4"/>
      <c r="C77" s="4"/>
      <c r="D77" s="4"/>
      <c r="E77" s="4"/>
      <c r="F77" s="4"/>
      <c r="G77" s="4">
        <v>1</v>
      </c>
      <c r="H77" s="4"/>
      <c r="I77" s="4">
        <v>1</v>
      </c>
      <c r="J77" s="4"/>
      <c r="K77">
        <v>0.42295138888888889</v>
      </c>
      <c r="M77">
        <v>1</v>
      </c>
      <c r="S77">
        <v>1</v>
      </c>
      <c r="V77" s="8">
        <v>0.42295138888888889</v>
      </c>
      <c r="W77" t="str">
        <f>+IF(SUMIFS(Data_Long_Form!$D:$D,Data_Long_Form!$C:$C,Data_Pivot_Table!$V77,Data_Long_Form!$A:$A,Data_Pivot_Table!W$4)=0,"",SUMIFS(Data_Long_Form!$D:$D,Data_Long_Form!$C:$C,Data_Pivot_Table!$V77,Data_Long_Form!$A:$A,Data_Pivot_Table!W$4))</f>
        <v/>
      </c>
      <c r="X77">
        <f>+IF(SUMIFS(Data_Long_Form!$D:$D,Data_Long_Form!$C:$C,Data_Pivot_Table!$V77,Data_Long_Form!$A:$A,Data_Pivot_Table!X$4)=0,"",SUMIFS(Data_Long_Form!$D:$D,Data_Long_Form!$C:$C,Data_Pivot_Table!$V77,Data_Long_Form!$A:$A,Data_Pivot_Table!X$4))</f>
        <v>375.79127711364657</v>
      </c>
      <c r="Y77" t="str">
        <f>+IF(SUMIFS(Data_Long_Form!$D:$D,Data_Long_Form!$C:$C,Data_Pivot_Table!$V77,Data_Long_Form!$A:$A,Data_Pivot_Table!Y$4)=0,"",SUMIFS(Data_Long_Form!$D:$D,Data_Long_Form!$C:$C,Data_Pivot_Table!$V77,Data_Long_Form!$A:$A,Data_Pivot_Table!Y$4))</f>
        <v/>
      </c>
      <c r="Z77" t="str">
        <f>+IF(SUMIFS(Data_Long_Form!$D:$D,Data_Long_Form!$C:$C,Data_Pivot_Table!$V77,Data_Long_Form!$A:$A,Data_Pivot_Table!Z$4)=0,"",SUMIFS(Data_Long_Form!$D:$D,Data_Long_Form!$C:$C,Data_Pivot_Table!$V77,Data_Long_Form!$A:$A,Data_Pivot_Table!Z$4))</f>
        <v/>
      </c>
      <c r="AA77" t="str">
        <f>+IF(SUMIFS(Data_Long_Form!$D:$D,Data_Long_Form!$C:$C,Data_Pivot_Table!$V77,Data_Long_Form!$A:$A,Data_Pivot_Table!AA$4)=0,"",SUMIFS(Data_Long_Form!$D:$D,Data_Long_Form!$C:$C,Data_Pivot_Table!$V77,Data_Long_Form!$A:$A,Data_Pivot_Table!AA$4))</f>
        <v/>
      </c>
      <c r="AB77" t="str">
        <f>+IF(SUMIFS(Data_Long_Form!$D:$D,Data_Long_Form!$C:$C,Data_Pivot_Table!$V77,Data_Long_Form!$A:$A,Data_Pivot_Table!AB$4)=0,"",SUMIFS(Data_Long_Form!$D:$D,Data_Long_Form!$C:$C,Data_Pivot_Table!$V77,Data_Long_Form!$A:$A,Data_Pivot_Table!AB$4))</f>
        <v/>
      </c>
      <c r="AC77" t="str">
        <f>+IF(SUMIFS(Data_Long_Form!$D:$D,Data_Long_Form!$C:$C,Data_Pivot_Table!$V77,Data_Long_Form!$A:$A,Data_Pivot_Table!AC$4)=0,"",SUMIFS(Data_Long_Form!$D:$D,Data_Long_Form!$C:$C,Data_Pivot_Table!$V77,Data_Long_Form!$A:$A,Data_Pivot_Table!AC$4))</f>
        <v/>
      </c>
    </row>
    <row r="78" spans="1:29" x14ac:dyDescent="0.2">
      <c r="A78" s="5">
        <v>0.42296296296296299</v>
      </c>
      <c r="B78" s="4"/>
      <c r="C78" s="4"/>
      <c r="D78" s="4"/>
      <c r="E78" s="4">
        <v>1</v>
      </c>
      <c r="F78" s="4"/>
      <c r="G78" s="4">
        <v>1</v>
      </c>
      <c r="H78" s="4"/>
      <c r="I78" s="4">
        <v>2</v>
      </c>
      <c r="J78" s="4"/>
      <c r="K78">
        <v>0.42296296296296299</v>
      </c>
      <c r="M78">
        <v>1</v>
      </c>
      <c r="R78">
        <v>1</v>
      </c>
      <c r="S78">
        <v>2</v>
      </c>
      <c r="V78" s="8">
        <v>0.42296296296296299</v>
      </c>
      <c r="W78" t="str">
        <f>+IF(SUMIFS(Data_Long_Form!$D:$D,Data_Long_Form!$C:$C,Data_Pivot_Table!$V78,Data_Long_Form!$A:$A,Data_Pivot_Table!W$4)=0,"",SUMIFS(Data_Long_Form!$D:$D,Data_Long_Form!$C:$C,Data_Pivot_Table!$V78,Data_Long_Form!$A:$A,Data_Pivot_Table!W$4))</f>
        <v/>
      </c>
      <c r="X78">
        <f>+IF(SUMIFS(Data_Long_Form!$D:$D,Data_Long_Form!$C:$C,Data_Pivot_Table!$V78,Data_Long_Form!$A:$A,Data_Pivot_Table!X$4)=0,"",SUMIFS(Data_Long_Form!$D:$D,Data_Long_Form!$C:$C,Data_Pivot_Table!$V78,Data_Long_Form!$A:$A,Data_Pivot_Table!X$4))</f>
        <v>395.57411929165784</v>
      </c>
      <c r="Y78" t="str">
        <f>+IF(SUMIFS(Data_Long_Form!$D:$D,Data_Long_Form!$C:$C,Data_Pivot_Table!$V78,Data_Long_Form!$A:$A,Data_Pivot_Table!Y$4)=0,"",SUMIFS(Data_Long_Form!$D:$D,Data_Long_Form!$C:$C,Data_Pivot_Table!$V78,Data_Long_Form!$A:$A,Data_Pivot_Table!Y$4))</f>
        <v/>
      </c>
      <c r="Z78" t="str">
        <f>+IF(SUMIFS(Data_Long_Form!$D:$D,Data_Long_Form!$C:$C,Data_Pivot_Table!$V78,Data_Long_Form!$A:$A,Data_Pivot_Table!Z$4)=0,"",SUMIFS(Data_Long_Form!$D:$D,Data_Long_Form!$C:$C,Data_Pivot_Table!$V78,Data_Long_Form!$A:$A,Data_Pivot_Table!Z$4))</f>
        <v/>
      </c>
      <c r="AA78" t="str">
        <f>+IF(SUMIFS(Data_Long_Form!$D:$D,Data_Long_Form!$C:$C,Data_Pivot_Table!$V78,Data_Long_Form!$A:$A,Data_Pivot_Table!AA$4)=0,"",SUMIFS(Data_Long_Form!$D:$D,Data_Long_Form!$C:$C,Data_Pivot_Table!$V78,Data_Long_Form!$A:$A,Data_Pivot_Table!AA$4))</f>
        <v/>
      </c>
      <c r="AB78" t="str">
        <f>+IF(SUMIFS(Data_Long_Form!$D:$D,Data_Long_Form!$C:$C,Data_Pivot_Table!$V78,Data_Long_Form!$A:$A,Data_Pivot_Table!AB$4)=0,"",SUMIFS(Data_Long_Form!$D:$D,Data_Long_Form!$C:$C,Data_Pivot_Table!$V78,Data_Long_Form!$A:$A,Data_Pivot_Table!AB$4))</f>
        <v/>
      </c>
      <c r="AC78">
        <f>+IF(SUMIFS(Data_Long_Form!$D:$D,Data_Long_Form!$C:$C,Data_Pivot_Table!$V78,Data_Long_Form!$A:$A,Data_Pivot_Table!AC$4)=0,"",SUMIFS(Data_Long_Form!$D:$D,Data_Long_Form!$C:$C,Data_Pivot_Table!$V78,Data_Long_Form!$A:$A,Data_Pivot_Table!AC$4))</f>
        <v>530.20009958283379</v>
      </c>
    </row>
    <row r="79" spans="1:29" x14ac:dyDescent="0.2">
      <c r="A79" s="5">
        <v>0.42297453703703702</v>
      </c>
      <c r="B79" s="4"/>
      <c r="C79" s="4"/>
      <c r="D79" s="4"/>
      <c r="E79" s="4">
        <v>1</v>
      </c>
      <c r="F79" s="4"/>
      <c r="G79" s="4">
        <v>1</v>
      </c>
      <c r="H79" s="4"/>
      <c r="I79" s="4">
        <v>2</v>
      </c>
      <c r="J79" s="4"/>
      <c r="K79">
        <v>0.42297453703703702</v>
      </c>
      <c r="M79">
        <v>1</v>
      </c>
      <c r="R79">
        <v>1</v>
      </c>
      <c r="S79">
        <v>2</v>
      </c>
      <c r="V79" s="8">
        <v>0.42297453703703702</v>
      </c>
      <c r="W79" t="str">
        <f>+IF(SUMIFS(Data_Long_Form!$D:$D,Data_Long_Form!$C:$C,Data_Pivot_Table!$V79,Data_Long_Form!$A:$A,Data_Pivot_Table!W$4)=0,"",SUMIFS(Data_Long_Form!$D:$D,Data_Long_Form!$C:$C,Data_Pivot_Table!$V79,Data_Long_Form!$A:$A,Data_Pivot_Table!W$4))</f>
        <v/>
      </c>
      <c r="X79">
        <f>+IF(SUMIFS(Data_Long_Form!$D:$D,Data_Long_Form!$C:$C,Data_Pivot_Table!$V79,Data_Long_Form!$A:$A,Data_Pivot_Table!X$4)=0,"",SUMIFS(Data_Long_Form!$D:$D,Data_Long_Form!$C:$C,Data_Pivot_Table!$V79,Data_Long_Form!$A:$A,Data_Pivot_Table!X$4))</f>
        <v>386.66135922663881</v>
      </c>
      <c r="Y79" t="str">
        <f>+IF(SUMIFS(Data_Long_Form!$D:$D,Data_Long_Form!$C:$C,Data_Pivot_Table!$V79,Data_Long_Form!$A:$A,Data_Pivot_Table!Y$4)=0,"",SUMIFS(Data_Long_Form!$D:$D,Data_Long_Form!$C:$C,Data_Pivot_Table!$V79,Data_Long_Form!$A:$A,Data_Pivot_Table!Y$4))</f>
        <v/>
      </c>
      <c r="Z79" t="str">
        <f>+IF(SUMIFS(Data_Long_Form!$D:$D,Data_Long_Form!$C:$C,Data_Pivot_Table!$V79,Data_Long_Form!$A:$A,Data_Pivot_Table!Z$4)=0,"",SUMIFS(Data_Long_Form!$D:$D,Data_Long_Form!$C:$C,Data_Pivot_Table!$V79,Data_Long_Form!$A:$A,Data_Pivot_Table!Z$4))</f>
        <v/>
      </c>
      <c r="AA79" t="str">
        <f>+IF(SUMIFS(Data_Long_Form!$D:$D,Data_Long_Form!$C:$C,Data_Pivot_Table!$V79,Data_Long_Form!$A:$A,Data_Pivot_Table!AA$4)=0,"",SUMIFS(Data_Long_Form!$D:$D,Data_Long_Form!$C:$C,Data_Pivot_Table!$V79,Data_Long_Form!$A:$A,Data_Pivot_Table!AA$4))</f>
        <v/>
      </c>
      <c r="AB79" t="str">
        <f>+IF(SUMIFS(Data_Long_Form!$D:$D,Data_Long_Form!$C:$C,Data_Pivot_Table!$V79,Data_Long_Form!$A:$A,Data_Pivot_Table!AB$4)=0,"",SUMIFS(Data_Long_Form!$D:$D,Data_Long_Form!$C:$C,Data_Pivot_Table!$V79,Data_Long_Form!$A:$A,Data_Pivot_Table!AB$4))</f>
        <v/>
      </c>
      <c r="AC79">
        <f>+IF(SUMIFS(Data_Long_Form!$D:$D,Data_Long_Form!$C:$C,Data_Pivot_Table!$V79,Data_Long_Form!$A:$A,Data_Pivot_Table!AC$4)=0,"",SUMIFS(Data_Long_Form!$D:$D,Data_Long_Form!$C:$C,Data_Pivot_Table!$V79,Data_Long_Form!$A:$A,Data_Pivot_Table!AC$4))</f>
        <v>498.96541284965997</v>
      </c>
    </row>
    <row r="80" spans="1:29" x14ac:dyDescent="0.2">
      <c r="A80" s="5">
        <v>0.42298611111111112</v>
      </c>
      <c r="B80" s="4"/>
      <c r="C80" s="4"/>
      <c r="D80" s="4"/>
      <c r="E80" s="4"/>
      <c r="F80" s="4"/>
      <c r="G80" s="4">
        <v>1</v>
      </c>
      <c r="H80" s="4"/>
      <c r="I80" s="4">
        <v>1</v>
      </c>
      <c r="J80" s="4"/>
      <c r="K80">
        <v>0.42298611111111112</v>
      </c>
      <c r="M80">
        <v>1</v>
      </c>
      <c r="S80">
        <v>1</v>
      </c>
      <c r="V80" s="8">
        <v>0.42298611111111112</v>
      </c>
      <c r="W80" t="str">
        <f>+IF(SUMIFS(Data_Long_Form!$D:$D,Data_Long_Form!$C:$C,Data_Pivot_Table!$V80,Data_Long_Form!$A:$A,Data_Pivot_Table!W$4)=0,"",SUMIFS(Data_Long_Form!$D:$D,Data_Long_Form!$C:$C,Data_Pivot_Table!$V80,Data_Long_Form!$A:$A,Data_Pivot_Table!W$4))</f>
        <v/>
      </c>
      <c r="X80">
        <f>+IF(SUMIFS(Data_Long_Form!$D:$D,Data_Long_Form!$C:$C,Data_Pivot_Table!$V80,Data_Long_Form!$A:$A,Data_Pivot_Table!X$4)=0,"",SUMIFS(Data_Long_Form!$D:$D,Data_Long_Form!$C:$C,Data_Pivot_Table!$V80,Data_Long_Form!$A:$A,Data_Pivot_Table!X$4))</f>
        <v>374.07936748586951</v>
      </c>
      <c r="Y80" t="str">
        <f>+IF(SUMIFS(Data_Long_Form!$D:$D,Data_Long_Form!$C:$C,Data_Pivot_Table!$V80,Data_Long_Form!$A:$A,Data_Pivot_Table!Y$4)=0,"",SUMIFS(Data_Long_Form!$D:$D,Data_Long_Form!$C:$C,Data_Pivot_Table!$V80,Data_Long_Form!$A:$A,Data_Pivot_Table!Y$4))</f>
        <v/>
      </c>
      <c r="Z80" t="str">
        <f>+IF(SUMIFS(Data_Long_Form!$D:$D,Data_Long_Form!$C:$C,Data_Pivot_Table!$V80,Data_Long_Form!$A:$A,Data_Pivot_Table!Z$4)=0,"",SUMIFS(Data_Long_Form!$D:$D,Data_Long_Form!$C:$C,Data_Pivot_Table!$V80,Data_Long_Form!$A:$A,Data_Pivot_Table!Z$4))</f>
        <v/>
      </c>
      <c r="AA80" t="str">
        <f>+IF(SUMIFS(Data_Long_Form!$D:$D,Data_Long_Form!$C:$C,Data_Pivot_Table!$V80,Data_Long_Form!$A:$A,Data_Pivot_Table!AA$4)=0,"",SUMIFS(Data_Long_Form!$D:$D,Data_Long_Form!$C:$C,Data_Pivot_Table!$V80,Data_Long_Form!$A:$A,Data_Pivot_Table!AA$4))</f>
        <v/>
      </c>
      <c r="AB80" t="str">
        <f>+IF(SUMIFS(Data_Long_Form!$D:$D,Data_Long_Form!$C:$C,Data_Pivot_Table!$V80,Data_Long_Form!$A:$A,Data_Pivot_Table!AB$4)=0,"",SUMIFS(Data_Long_Form!$D:$D,Data_Long_Form!$C:$C,Data_Pivot_Table!$V80,Data_Long_Form!$A:$A,Data_Pivot_Table!AB$4))</f>
        <v/>
      </c>
      <c r="AC80" t="str">
        <f>+IF(SUMIFS(Data_Long_Form!$D:$D,Data_Long_Form!$C:$C,Data_Pivot_Table!$V80,Data_Long_Form!$A:$A,Data_Pivot_Table!AC$4)=0,"",SUMIFS(Data_Long_Form!$D:$D,Data_Long_Form!$C:$C,Data_Pivot_Table!$V80,Data_Long_Form!$A:$A,Data_Pivot_Table!AC$4))</f>
        <v/>
      </c>
    </row>
    <row r="81" spans="1:29" x14ac:dyDescent="0.2">
      <c r="A81" s="5">
        <v>0.4241550925925926</v>
      </c>
      <c r="B81" s="4"/>
      <c r="C81" s="4"/>
      <c r="D81" s="4"/>
      <c r="E81" s="4">
        <v>1</v>
      </c>
      <c r="F81" s="4"/>
      <c r="G81" s="4">
        <v>1</v>
      </c>
      <c r="H81" s="4"/>
      <c r="I81" s="4">
        <v>2</v>
      </c>
      <c r="J81" s="4"/>
      <c r="K81">
        <v>0.4241550925925926</v>
      </c>
      <c r="M81">
        <v>1</v>
      </c>
      <c r="R81">
        <v>1</v>
      </c>
      <c r="S81">
        <v>2</v>
      </c>
      <c r="V81" s="8">
        <v>0.4241550925925926</v>
      </c>
      <c r="W81" t="str">
        <f>+IF(SUMIFS(Data_Long_Form!$D:$D,Data_Long_Form!$C:$C,Data_Pivot_Table!$V81,Data_Long_Form!$A:$A,Data_Pivot_Table!W$4)=0,"",SUMIFS(Data_Long_Form!$D:$D,Data_Long_Form!$C:$C,Data_Pivot_Table!$V81,Data_Long_Form!$A:$A,Data_Pivot_Table!W$4))</f>
        <v/>
      </c>
      <c r="X81">
        <f>+IF(SUMIFS(Data_Long_Form!$D:$D,Data_Long_Form!$C:$C,Data_Pivot_Table!$V81,Data_Long_Form!$A:$A,Data_Pivot_Table!X$4)=0,"",SUMIFS(Data_Long_Form!$D:$D,Data_Long_Form!$C:$C,Data_Pivot_Table!$V81,Data_Long_Form!$A:$A,Data_Pivot_Table!X$4))</f>
        <v>377.71247273845898</v>
      </c>
      <c r="Y81" t="str">
        <f>+IF(SUMIFS(Data_Long_Form!$D:$D,Data_Long_Form!$C:$C,Data_Pivot_Table!$V81,Data_Long_Form!$A:$A,Data_Pivot_Table!Y$4)=0,"",SUMIFS(Data_Long_Form!$D:$D,Data_Long_Form!$C:$C,Data_Pivot_Table!$V81,Data_Long_Form!$A:$A,Data_Pivot_Table!Y$4))</f>
        <v/>
      </c>
      <c r="Z81" t="str">
        <f>+IF(SUMIFS(Data_Long_Form!$D:$D,Data_Long_Form!$C:$C,Data_Pivot_Table!$V81,Data_Long_Form!$A:$A,Data_Pivot_Table!Z$4)=0,"",SUMIFS(Data_Long_Form!$D:$D,Data_Long_Form!$C:$C,Data_Pivot_Table!$V81,Data_Long_Form!$A:$A,Data_Pivot_Table!Z$4))</f>
        <v/>
      </c>
      <c r="AA81" t="str">
        <f>+IF(SUMIFS(Data_Long_Form!$D:$D,Data_Long_Form!$C:$C,Data_Pivot_Table!$V81,Data_Long_Form!$A:$A,Data_Pivot_Table!AA$4)=0,"",SUMIFS(Data_Long_Form!$D:$D,Data_Long_Form!$C:$C,Data_Pivot_Table!$V81,Data_Long_Form!$A:$A,Data_Pivot_Table!AA$4))</f>
        <v/>
      </c>
      <c r="AB81" t="str">
        <f>+IF(SUMIFS(Data_Long_Form!$D:$D,Data_Long_Form!$C:$C,Data_Pivot_Table!$V81,Data_Long_Form!$A:$A,Data_Pivot_Table!AB$4)=0,"",SUMIFS(Data_Long_Form!$D:$D,Data_Long_Form!$C:$C,Data_Pivot_Table!$V81,Data_Long_Form!$A:$A,Data_Pivot_Table!AB$4))</f>
        <v/>
      </c>
      <c r="AC81">
        <f>+IF(SUMIFS(Data_Long_Form!$D:$D,Data_Long_Form!$C:$C,Data_Pivot_Table!$V81,Data_Long_Form!$A:$A,Data_Pivot_Table!AC$4)=0,"",SUMIFS(Data_Long_Form!$D:$D,Data_Long_Form!$C:$C,Data_Pivot_Table!$V81,Data_Long_Form!$A:$A,Data_Pivot_Table!AC$4))</f>
        <v>414.64990233548832</v>
      </c>
    </row>
    <row r="82" spans="1:29" x14ac:dyDescent="0.2">
      <c r="A82" s="5">
        <v>0.42416666666666669</v>
      </c>
      <c r="B82" s="4"/>
      <c r="C82" s="4"/>
      <c r="D82" s="4">
        <v>1</v>
      </c>
      <c r="E82" s="4">
        <v>1</v>
      </c>
      <c r="F82" s="4"/>
      <c r="G82" s="4">
        <v>1</v>
      </c>
      <c r="H82" s="4"/>
      <c r="I82" s="4">
        <v>3</v>
      </c>
      <c r="J82" s="4"/>
      <c r="K82">
        <v>0.42416666666666669</v>
      </c>
      <c r="M82">
        <v>1</v>
      </c>
      <c r="Q82">
        <v>1</v>
      </c>
      <c r="R82">
        <v>1</v>
      </c>
      <c r="S82">
        <v>3</v>
      </c>
      <c r="V82" s="8">
        <v>0.42416666666666669</v>
      </c>
      <c r="W82" t="str">
        <f>+IF(SUMIFS(Data_Long_Form!$D:$D,Data_Long_Form!$C:$C,Data_Pivot_Table!$V82,Data_Long_Form!$A:$A,Data_Pivot_Table!W$4)=0,"",SUMIFS(Data_Long_Form!$D:$D,Data_Long_Form!$C:$C,Data_Pivot_Table!$V82,Data_Long_Form!$A:$A,Data_Pivot_Table!W$4))</f>
        <v/>
      </c>
      <c r="X82">
        <f>+IF(SUMIFS(Data_Long_Form!$D:$D,Data_Long_Form!$C:$C,Data_Pivot_Table!$V82,Data_Long_Form!$A:$A,Data_Pivot_Table!X$4)=0,"",SUMIFS(Data_Long_Form!$D:$D,Data_Long_Form!$C:$C,Data_Pivot_Table!$V82,Data_Long_Form!$A:$A,Data_Pivot_Table!X$4))</f>
        <v>361.18607057782236</v>
      </c>
      <c r="Y82" t="str">
        <f>+IF(SUMIFS(Data_Long_Form!$D:$D,Data_Long_Form!$C:$C,Data_Pivot_Table!$V82,Data_Long_Form!$A:$A,Data_Pivot_Table!Y$4)=0,"",SUMIFS(Data_Long_Form!$D:$D,Data_Long_Form!$C:$C,Data_Pivot_Table!$V82,Data_Long_Form!$A:$A,Data_Pivot_Table!Y$4))</f>
        <v/>
      </c>
      <c r="Z82" t="str">
        <f>+IF(SUMIFS(Data_Long_Form!$D:$D,Data_Long_Form!$C:$C,Data_Pivot_Table!$V82,Data_Long_Form!$A:$A,Data_Pivot_Table!Z$4)=0,"",SUMIFS(Data_Long_Form!$D:$D,Data_Long_Form!$C:$C,Data_Pivot_Table!$V82,Data_Long_Form!$A:$A,Data_Pivot_Table!Z$4))</f>
        <v/>
      </c>
      <c r="AA82" t="str">
        <f>+IF(SUMIFS(Data_Long_Form!$D:$D,Data_Long_Form!$C:$C,Data_Pivot_Table!$V82,Data_Long_Form!$A:$A,Data_Pivot_Table!AA$4)=0,"",SUMIFS(Data_Long_Form!$D:$D,Data_Long_Form!$C:$C,Data_Pivot_Table!$V82,Data_Long_Form!$A:$A,Data_Pivot_Table!AA$4))</f>
        <v/>
      </c>
      <c r="AB82">
        <f>+IF(SUMIFS(Data_Long_Form!$D:$D,Data_Long_Form!$C:$C,Data_Pivot_Table!$V82,Data_Long_Form!$A:$A,Data_Pivot_Table!AB$4)=0,"",SUMIFS(Data_Long_Form!$D:$D,Data_Long_Form!$C:$C,Data_Pivot_Table!$V82,Data_Long_Form!$A:$A,Data_Pivot_Table!AB$4))</f>
        <v>372.82789197961927</v>
      </c>
      <c r="AC82">
        <f>+IF(SUMIFS(Data_Long_Form!$D:$D,Data_Long_Form!$C:$C,Data_Pivot_Table!$V82,Data_Long_Form!$A:$A,Data_Pivot_Table!AC$4)=0,"",SUMIFS(Data_Long_Form!$D:$D,Data_Long_Form!$C:$C,Data_Pivot_Table!$V82,Data_Long_Form!$A:$A,Data_Pivot_Table!AC$4))</f>
        <v>402.79034010500027</v>
      </c>
    </row>
    <row r="83" spans="1:29" x14ac:dyDescent="0.2">
      <c r="A83" s="5">
        <v>0.42417824074074073</v>
      </c>
      <c r="B83" s="4"/>
      <c r="C83" s="4"/>
      <c r="D83" s="4"/>
      <c r="E83" s="4">
        <v>1</v>
      </c>
      <c r="F83" s="4"/>
      <c r="G83" s="4">
        <v>1</v>
      </c>
      <c r="H83" s="4"/>
      <c r="I83" s="4">
        <v>2</v>
      </c>
      <c r="J83" s="4"/>
      <c r="K83">
        <v>0.42417824074074073</v>
      </c>
      <c r="M83">
        <v>1</v>
      </c>
      <c r="R83">
        <v>1</v>
      </c>
      <c r="S83">
        <v>2</v>
      </c>
      <c r="V83" s="8">
        <v>0.42417824074074073</v>
      </c>
      <c r="W83" t="str">
        <f>+IF(SUMIFS(Data_Long_Form!$D:$D,Data_Long_Form!$C:$C,Data_Pivot_Table!$V83,Data_Long_Form!$A:$A,Data_Pivot_Table!W$4)=0,"",SUMIFS(Data_Long_Form!$D:$D,Data_Long_Form!$C:$C,Data_Pivot_Table!$V83,Data_Long_Form!$A:$A,Data_Pivot_Table!W$4))</f>
        <v/>
      </c>
      <c r="X83">
        <f>+IF(SUMIFS(Data_Long_Form!$D:$D,Data_Long_Form!$C:$C,Data_Pivot_Table!$V83,Data_Long_Form!$A:$A,Data_Pivot_Table!X$4)=0,"",SUMIFS(Data_Long_Form!$D:$D,Data_Long_Form!$C:$C,Data_Pivot_Table!$V83,Data_Long_Form!$A:$A,Data_Pivot_Table!X$4))</f>
        <v>367.52629616083317</v>
      </c>
      <c r="Y83" t="str">
        <f>+IF(SUMIFS(Data_Long_Form!$D:$D,Data_Long_Form!$C:$C,Data_Pivot_Table!$V83,Data_Long_Form!$A:$A,Data_Pivot_Table!Y$4)=0,"",SUMIFS(Data_Long_Form!$D:$D,Data_Long_Form!$C:$C,Data_Pivot_Table!$V83,Data_Long_Form!$A:$A,Data_Pivot_Table!Y$4))</f>
        <v/>
      </c>
      <c r="Z83" t="str">
        <f>+IF(SUMIFS(Data_Long_Form!$D:$D,Data_Long_Form!$C:$C,Data_Pivot_Table!$V83,Data_Long_Form!$A:$A,Data_Pivot_Table!Z$4)=0,"",SUMIFS(Data_Long_Form!$D:$D,Data_Long_Form!$C:$C,Data_Pivot_Table!$V83,Data_Long_Form!$A:$A,Data_Pivot_Table!Z$4))</f>
        <v/>
      </c>
      <c r="AA83" t="str">
        <f>+IF(SUMIFS(Data_Long_Form!$D:$D,Data_Long_Form!$C:$C,Data_Pivot_Table!$V83,Data_Long_Form!$A:$A,Data_Pivot_Table!AA$4)=0,"",SUMIFS(Data_Long_Form!$D:$D,Data_Long_Form!$C:$C,Data_Pivot_Table!$V83,Data_Long_Form!$A:$A,Data_Pivot_Table!AA$4))</f>
        <v/>
      </c>
      <c r="AB83" t="str">
        <f>+IF(SUMIFS(Data_Long_Form!$D:$D,Data_Long_Form!$C:$C,Data_Pivot_Table!$V83,Data_Long_Form!$A:$A,Data_Pivot_Table!AB$4)=0,"",SUMIFS(Data_Long_Form!$D:$D,Data_Long_Form!$C:$C,Data_Pivot_Table!$V83,Data_Long_Form!$A:$A,Data_Pivot_Table!AB$4))</f>
        <v/>
      </c>
      <c r="AC83">
        <f>+IF(SUMIFS(Data_Long_Form!$D:$D,Data_Long_Form!$C:$C,Data_Pivot_Table!$V83,Data_Long_Form!$A:$A,Data_Pivot_Table!AC$4)=0,"",SUMIFS(Data_Long_Form!$D:$D,Data_Long_Form!$C:$C,Data_Pivot_Table!$V83,Data_Long_Form!$A:$A,Data_Pivot_Table!AC$4))</f>
        <v>377.90513032845001</v>
      </c>
    </row>
    <row r="84" spans="1:29" x14ac:dyDescent="0.2">
      <c r="A84" s="5">
        <v>0.42423611111111109</v>
      </c>
      <c r="B84" s="4"/>
      <c r="C84" s="4"/>
      <c r="D84" s="4"/>
      <c r="E84" s="4"/>
      <c r="F84" s="4">
        <v>1</v>
      </c>
      <c r="G84" s="4">
        <v>1</v>
      </c>
      <c r="H84" s="4"/>
      <c r="I84" s="4">
        <v>2</v>
      </c>
      <c r="J84" s="4"/>
      <c r="K84">
        <v>0.42423611111111109</v>
      </c>
      <c r="L84">
        <v>1</v>
      </c>
      <c r="M84">
        <v>1</v>
      </c>
      <c r="S84">
        <v>2</v>
      </c>
      <c r="V84" s="8">
        <v>0.42423611111111109</v>
      </c>
      <c r="W84">
        <f>+IF(SUMIFS(Data_Long_Form!$D:$D,Data_Long_Form!$C:$C,Data_Pivot_Table!$V84,Data_Long_Form!$A:$A,Data_Pivot_Table!W$4)=0,"",SUMIFS(Data_Long_Form!$D:$D,Data_Long_Form!$C:$C,Data_Pivot_Table!$V84,Data_Long_Form!$A:$A,Data_Pivot_Table!W$4))</f>
        <v>396.53429518342352</v>
      </c>
      <c r="X84">
        <f>+IF(SUMIFS(Data_Long_Form!$D:$D,Data_Long_Form!$C:$C,Data_Pivot_Table!$V84,Data_Long_Form!$A:$A,Data_Pivot_Table!X$4)=0,"",SUMIFS(Data_Long_Form!$D:$D,Data_Long_Form!$C:$C,Data_Pivot_Table!$V84,Data_Long_Form!$A:$A,Data_Pivot_Table!X$4))</f>
        <v>388.16645573769642</v>
      </c>
      <c r="Y84" t="str">
        <f>+IF(SUMIFS(Data_Long_Form!$D:$D,Data_Long_Form!$C:$C,Data_Pivot_Table!$V84,Data_Long_Form!$A:$A,Data_Pivot_Table!Y$4)=0,"",SUMIFS(Data_Long_Form!$D:$D,Data_Long_Form!$C:$C,Data_Pivot_Table!$V84,Data_Long_Form!$A:$A,Data_Pivot_Table!Y$4))</f>
        <v/>
      </c>
      <c r="Z84" t="str">
        <f>+IF(SUMIFS(Data_Long_Form!$D:$D,Data_Long_Form!$C:$C,Data_Pivot_Table!$V84,Data_Long_Form!$A:$A,Data_Pivot_Table!Z$4)=0,"",SUMIFS(Data_Long_Form!$D:$D,Data_Long_Form!$C:$C,Data_Pivot_Table!$V84,Data_Long_Form!$A:$A,Data_Pivot_Table!Z$4))</f>
        <v/>
      </c>
      <c r="AA84" t="str">
        <f>+IF(SUMIFS(Data_Long_Form!$D:$D,Data_Long_Form!$C:$C,Data_Pivot_Table!$V84,Data_Long_Form!$A:$A,Data_Pivot_Table!AA$4)=0,"",SUMIFS(Data_Long_Form!$D:$D,Data_Long_Form!$C:$C,Data_Pivot_Table!$V84,Data_Long_Form!$A:$A,Data_Pivot_Table!AA$4))</f>
        <v/>
      </c>
      <c r="AB84" t="str">
        <f>+IF(SUMIFS(Data_Long_Form!$D:$D,Data_Long_Form!$C:$C,Data_Pivot_Table!$V84,Data_Long_Form!$A:$A,Data_Pivot_Table!AB$4)=0,"",SUMIFS(Data_Long_Form!$D:$D,Data_Long_Form!$C:$C,Data_Pivot_Table!$V84,Data_Long_Form!$A:$A,Data_Pivot_Table!AB$4))</f>
        <v/>
      </c>
      <c r="AC84" t="str">
        <f>+IF(SUMIFS(Data_Long_Form!$D:$D,Data_Long_Form!$C:$C,Data_Pivot_Table!$V84,Data_Long_Form!$A:$A,Data_Pivot_Table!AC$4)=0,"",SUMIFS(Data_Long_Form!$D:$D,Data_Long_Form!$C:$C,Data_Pivot_Table!$V84,Data_Long_Form!$A:$A,Data_Pivot_Table!AC$4))</f>
        <v/>
      </c>
    </row>
    <row r="85" spans="1:29" x14ac:dyDescent="0.2">
      <c r="A85" s="5">
        <v>0.42424768518518519</v>
      </c>
      <c r="B85" s="4"/>
      <c r="C85" s="4">
        <v>1</v>
      </c>
      <c r="D85" s="4"/>
      <c r="E85" s="4">
        <v>1</v>
      </c>
      <c r="F85" s="4">
        <v>1</v>
      </c>
      <c r="G85" s="4">
        <v>1</v>
      </c>
      <c r="H85" s="4"/>
      <c r="I85" s="4">
        <v>4</v>
      </c>
      <c r="J85" s="4"/>
      <c r="K85">
        <v>0.42424768518518519</v>
      </c>
      <c r="L85">
        <v>1</v>
      </c>
      <c r="M85">
        <v>1</v>
      </c>
      <c r="P85">
        <v>1</v>
      </c>
      <c r="R85">
        <v>1</v>
      </c>
      <c r="S85">
        <v>4</v>
      </c>
      <c r="V85" s="8">
        <v>0.42424768518518519</v>
      </c>
      <c r="W85">
        <f>+IF(SUMIFS(Data_Long_Form!$D:$D,Data_Long_Form!$C:$C,Data_Pivot_Table!$V85,Data_Long_Form!$A:$A,Data_Pivot_Table!W$4)=0,"",SUMIFS(Data_Long_Form!$D:$D,Data_Long_Form!$C:$C,Data_Pivot_Table!$V85,Data_Long_Form!$A:$A,Data_Pivot_Table!W$4))</f>
        <v>372.30167481823275</v>
      </c>
      <c r="X85">
        <f>+IF(SUMIFS(Data_Long_Form!$D:$D,Data_Long_Form!$C:$C,Data_Pivot_Table!$V85,Data_Long_Form!$A:$A,Data_Pivot_Table!X$4)=0,"",SUMIFS(Data_Long_Form!$D:$D,Data_Long_Form!$C:$C,Data_Pivot_Table!$V85,Data_Long_Form!$A:$A,Data_Pivot_Table!X$4))</f>
        <v>367.41682178558881</v>
      </c>
      <c r="Y85" t="str">
        <f>+IF(SUMIFS(Data_Long_Form!$D:$D,Data_Long_Form!$C:$C,Data_Pivot_Table!$V85,Data_Long_Form!$A:$A,Data_Pivot_Table!Y$4)=0,"",SUMIFS(Data_Long_Form!$D:$D,Data_Long_Form!$C:$C,Data_Pivot_Table!$V85,Data_Long_Form!$A:$A,Data_Pivot_Table!Y$4))</f>
        <v/>
      </c>
      <c r="Z85" t="str">
        <f>+IF(SUMIFS(Data_Long_Form!$D:$D,Data_Long_Form!$C:$C,Data_Pivot_Table!$V85,Data_Long_Form!$A:$A,Data_Pivot_Table!Z$4)=0,"",SUMIFS(Data_Long_Form!$D:$D,Data_Long_Form!$C:$C,Data_Pivot_Table!$V85,Data_Long_Form!$A:$A,Data_Pivot_Table!Z$4))</f>
        <v/>
      </c>
      <c r="AA85">
        <f>+IF(SUMIFS(Data_Long_Form!$D:$D,Data_Long_Form!$C:$C,Data_Pivot_Table!$V85,Data_Long_Form!$A:$A,Data_Pivot_Table!AA$4)=0,"",SUMIFS(Data_Long_Form!$D:$D,Data_Long_Form!$C:$C,Data_Pivot_Table!$V85,Data_Long_Form!$A:$A,Data_Pivot_Table!AA$4))</f>
        <v>345.76372775847608</v>
      </c>
      <c r="AB85" t="str">
        <f>+IF(SUMIFS(Data_Long_Form!$D:$D,Data_Long_Form!$C:$C,Data_Pivot_Table!$V85,Data_Long_Form!$A:$A,Data_Pivot_Table!AB$4)=0,"",SUMIFS(Data_Long_Form!$D:$D,Data_Long_Form!$C:$C,Data_Pivot_Table!$V85,Data_Long_Form!$A:$A,Data_Pivot_Table!AB$4))</f>
        <v/>
      </c>
      <c r="AC85">
        <f>+IF(SUMIFS(Data_Long_Form!$D:$D,Data_Long_Form!$C:$C,Data_Pivot_Table!$V85,Data_Long_Form!$A:$A,Data_Pivot_Table!AC$4)=0,"",SUMIFS(Data_Long_Form!$D:$D,Data_Long_Form!$C:$C,Data_Pivot_Table!$V85,Data_Long_Form!$A:$A,Data_Pivot_Table!AC$4))</f>
        <v>434.63606292066834</v>
      </c>
    </row>
    <row r="86" spans="1:29" x14ac:dyDescent="0.2">
      <c r="A86" s="5">
        <v>0.42425925925925928</v>
      </c>
      <c r="B86" s="4"/>
      <c r="C86" s="4">
        <v>1</v>
      </c>
      <c r="D86" s="4"/>
      <c r="E86" s="4">
        <v>1</v>
      </c>
      <c r="F86" s="4">
        <v>1</v>
      </c>
      <c r="G86" s="4">
        <v>1</v>
      </c>
      <c r="H86" s="4"/>
      <c r="I86" s="4">
        <v>4</v>
      </c>
      <c r="J86" s="4"/>
      <c r="K86">
        <v>0.42425925925925928</v>
      </c>
      <c r="L86">
        <v>1</v>
      </c>
      <c r="M86">
        <v>1</v>
      </c>
      <c r="P86">
        <v>1</v>
      </c>
      <c r="R86">
        <v>1</v>
      </c>
      <c r="S86">
        <v>4</v>
      </c>
      <c r="V86" s="8">
        <v>0.42425925925925928</v>
      </c>
      <c r="W86">
        <f>+IF(SUMIFS(Data_Long_Form!$D:$D,Data_Long_Form!$C:$C,Data_Pivot_Table!$V86,Data_Long_Form!$A:$A,Data_Pivot_Table!W$4)=0,"",SUMIFS(Data_Long_Form!$D:$D,Data_Long_Form!$C:$C,Data_Pivot_Table!$V86,Data_Long_Form!$A:$A,Data_Pivot_Table!W$4))</f>
        <v>328.5615976459199</v>
      </c>
      <c r="X86">
        <f>+IF(SUMIFS(Data_Long_Form!$D:$D,Data_Long_Form!$C:$C,Data_Pivot_Table!$V86,Data_Long_Form!$A:$A,Data_Pivot_Table!X$4)=0,"",SUMIFS(Data_Long_Form!$D:$D,Data_Long_Form!$C:$C,Data_Pivot_Table!$V86,Data_Long_Form!$A:$A,Data_Pivot_Table!X$4))</f>
        <v>371.10163943540368</v>
      </c>
      <c r="Y86" t="str">
        <f>+IF(SUMIFS(Data_Long_Form!$D:$D,Data_Long_Form!$C:$C,Data_Pivot_Table!$V86,Data_Long_Form!$A:$A,Data_Pivot_Table!Y$4)=0,"",SUMIFS(Data_Long_Form!$D:$D,Data_Long_Form!$C:$C,Data_Pivot_Table!$V86,Data_Long_Form!$A:$A,Data_Pivot_Table!Y$4))</f>
        <v/>
      </c>
      <c r="Z86" t="str">
        <f>+IF(SUMIFS(Data_Long_Form!$D:$D,Data_Long_Form!$C:$C,Data_Pivot_Table!$V86,Data_Long_Form!$A:$A,Data_Pivot_Table!Z$4)=0,"",SUMIFS(Data_Long_Form!$D:$D,Data_Long_Form!$C:$C,Data_Pivot_Table!$V86,Data_Long_Form!$A:$A,Data_Pivot_Table!Z$4))</f>
        <v/>
      </c>
      <c r="AA86">
        <f>+IF(SUMIFS(Data_Long_Form!$D:$D,Data_Long_Form!$C:$C,Data_Pivot_Table!$V86,Data_Long_Form!$A:$A,Data_Pivot_Table!AA$4)=0,"",SUMIFS(Data_Long_Form!$D:$D,Data_Long_Form!$C:$C,Data_Pivot_Table!$V86,Data_Long_Form!$A:$A,Data_Pivot_Table!AA$4))</f>
        <v>379.83007257059722</v>
      </c>
      <c r="AB86" t="str">
        <f>+IF(SUMIFS(Data_Long_Form!$D:$D,Data_Long_Form!$C:$C,Data_Pivot_Table!$V86,Data_Long_Form!$A:$A,Data_Pivot_Table!AB$4)=0,"",SUMIFS(Data_Long_Form!$D:$D,Data_Long_Form!$C:$C,Data_Pivot_Table!$V86,Data_Long_Form!$A:$A,Data_Pivot_Table!AB$4))</f>
        <v/>
      </c>
      <c r="AC86">
        <f>+IF(SUMIFS(Data_Long_Form!$D:$D,Data_Long_Form!$C:$C,Data_Pivot_Table!$V86,Data_Long_Form!$A:$A,Data_Pivot_Table!AC$4)=0,"",SUMIFS(Data_Long_Form!$D:$D,Data_Long_Form!$C:$C,Data_Pivot_Table!$V86,Data_Long_Form!$A:$A,Data_Pivot_Table!AC$4))</f>
        <v>444.58901263746424</v>
      </c>
    </row>
    <row r="87" spans="1:29" x14ac:dyDescent="0.2">
      <c r="A87" s="5">
        <v>0.42427083333333332</v>
      </c>
      <c r="B87" s="4"/>
      <c r="C87" s="4">
        <v>1</v>
      </c>
      <c r="D87" s="4"/>
      <c r="E87" s="4">
        <v>1</v>
      </c>
      <c r="F87" s="4">
        <v>1</v>
      </c>
      <c r="G87" s="4">
        <v>1</v>
      </c>
      <c r="H87" s="4"/>
      <c r="I87" s="4">
        <v>4</v>
      </c>
      <c r="J87" s="4"/>
      <c r="K87">
        <v>0.42427083333333332</v>
      </c>
      <c r="L87">
        <v>1</v>
      </c>
      <c r="M87">
        <v>1</v>
      </c>
      <c r="P87">
        <v>1</v>
      </c>
      <c r="R87">
        <v>1</v>
      </c>
      <c r="S87">
        <v>4</v>
      </c>
      <c r="V87" s="8">
        <v>0.42427083333333332</v>
      </c>
      <c r="W87">
        <f>+IF(SUMIFS(Data_Long_Form!$D:$D,Data_Long_Form!$C:$C,Data_Pivot_Table!$V87,Data_Long_Form!$A:$A,Data_Pivot_Table!W$4)=0,"",SUMIFS(Data_Long_Form!$D:$D,Data_Long_Form!$C:$C,Data_Pivot_Table!$V87,Data_Long_Form!$A:$A,Data_Pivot_Table!W$4))</f>
        <v>318.07617756645726</v>
      </c>
      <c r="X87">
        <f>+IF(SUMIFS(Data_Long_Form!$D:$D,Data_Long_Form!$C:$C,Data_Pivot_Table!$V87,Data_Long_Form!$A:$A,Data_Pivot_Table!X$4)=0,"",SUMIFS(Data_Long_Form!$D:$D,Data_Long_Form!$C:$C,Data_Pivot_Table!$V87,Data_Long_Form!$A:$A,Data_Pivot_Table!X$4))</f>
        <v>370.82368243608624</v>
      </c>
      <c r="Y87" t="str">
        <f>+IF(SUMIFS(Data_Long_Form!$D:$D,Data_Long_Form!$C:$C,Data_Pivot_Table!$V87,Data_Long_Form!$A:$A,Data_Pivot_Table!Y$4)=0,"",SUMIFS(Data_Long_Form!$D:$D,Data_Long_Form!$C:$C,Data_Pivot_Table!$V87,Data_Long_Form!$A:$A,Data_Pivot_Table!Y$4))</f>
        <v/>
      </c>
      <c r="Z87" t="str">
        <f>+IF(SUMIFS(Data_Long_Form!$D:$D,Data_Long_Form!$C:$C,Data_Pivot_Table!$V87,Data_Long_Form!$A:$A,Data_Pivot_Table!Z$4)=0,"",SUMIFS(Data_Long_Form!$D:$D,Data_Long_Form!$C:$C,Data_Pivot_Table!$V87,Data_Long_Form!$A:$A,Data_Pivot_Table!Z$4))</f>
        <v/>
      </c>
      <c r="AA87">
        <f>+IF(SUMIFS(Data_Long_Form!$D:$D,Data_Long_Form!$C:$C,Data_Pivot_Table!$V87,Data_Long_Form!$A:$A,Data_Pivot_Table!AA$4)=0,"",SUMIFS(Data_Long_Form!$D:$D,Data_Long_Form!$C:$C,Data_Pivot_Table!$V87,Data_Long_Form!$A:$A,Data_Pivot_Table!AA$4))</f>
        <v>402.06497199449296</v>
      </c>
      <c r="AB87" t="str">
        <f>+IF(SUMIFS(Data_Long_Form!$D:$D,Data_Long_Form!$C:$C,Data_Pivot_Table!$V87,Data_Long_Form!$A:$A,Data_Pivot_Table!AB$4)=0,"",SUMIFS(Data_Long_Form!$D:$D,Data_Long_Form!$C:$C,Data_Pivot_Table!$V87,Data_Long_Form!$A:$A,Data_Pivot_Table!AB$4))</f>
        <v/>
      </c>
      <c r="AC87">
        <f>+IF(SUMIFS(Data_Long_Form!$D:$D,Data_Long_Form!$C:$C,Data_Pivot_Table!$V87,Data_Long_Form!$A:$A,Data_Pivot_Table!AC$4)=0,"",SUMIFS(Data_Long_Form!$D:$D,Data_Long_Form!$C:$C,Data_Pivot_Table!$V87,Data_Long_Form!$A:$A,Data_Pivot_Table!AC$4))</f>
        <v>450.7215790353207</v>
      </c>
    </row>
    <row r="88" spans="1:29" x14ac:dyDescent="0.2">
      <c r="A88" s="5">
        <v>0.42428240740740741</v>
      </c>
      <c r="B88" s="4"/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/>
      <c r="I88" s="4">
        <v>5</v>
      </c>
      <c r="J88" s="4"/>
      <c r="K88">
        <v>0.42428240740740741</v>
      </c>
      <c r="L88">
        <v>1</v>
      </c>
      <c r="M88">
        <v>1</v>
      </c>
      <c r="P88">
        <v>1</v>
      </c>
      <c r="Q88">
        <v>1</v>
      </c>
      <c r="R88">
        <v>1</v>
      </c>
      <c r="S88">
        <v>5</v>
      </c>
      <c r="V88" s="8">
        <v>0.42428240740740741</v>
      </c>
      <c r="W88">
        <f>+IF(SUMIFS(Data_Long_Form!$D:$D,Data_Long_Form!$C:$C,Data_Pivot_Table!$V88,Data_Long_Form!$A:$A,Data_Pivot_Table!W$4)=0,"",SUMIFS(Data_Long_Form!$D:$D,Data_Long_Form!$C:$C,Data_Pivot_Table!$V88,Data_Long_Form!$A:$A,Data_Pivot_Table!W$4))</f>
        <v>305.22987245838931</v>
      </c>
      <c r="X88">
        <f>+IF(SUMIFS(Data_Long_Form!$D:$D,Data_Long_Form!$C:$C,Data_Pivot_Table!$V88,Data_Long_Form!$A:$A,Data_Pivot_Table!X$4)=0,"",SUMIFS(Data_Long_Form!$D:$D,Data_Long_Form!$C:$C,Data_Pivot_Table!$V88,Data_Long_Form!$A:$A,Data_Pivot_Table!X$4))</f>
        <v>365.77318494941181</v>
      </c>
      <c r="Y88" t="str">
        <f>+IF(SUMIFS(Data_Long_Form!$D:$D,Data_Long_Form!$C:$C,Data_Pivot_Table!$V88,Data_Long_Form!$A:$A,Data_Pivot_Table!Y$4)=0,"",SUMIFS(Data_Long_Form!$D:$D,Data_Long_Form!$C:$C,Data_Pivot_Table!$V88,Data_Long_Form!$A:$A,Data_Pivot_Table!Y$4))</f>
        <v/>
      </c>
      <c r="Z88" t="str">
        <f>+IF(SUMIFS(Data_Long_Form!$D:$D,Data_Long_Form!$C:$C,Data_Pivot_Table!$V88,Data_Long_Form!$A:$A,Data_Pivot_Table!Z$4)=0,"",SUMIFS(Data_Long_Form!$D:$D,Data_Long_Form!$C:$C,Data_Pivot_Table!$V88,Data_Long_Form!$A:$A,Data_Pivot_Table!Z$4))</f>
        <v/>
      </c>
      <c r="AA88">
        <f>+IF(SUMIFS(Data_Long_Form!$D:$D,Data_Long_Form!$C:$C,Data_Pivot_Table!$V88,Data_Long_Form!$A:$A,Data_Pivot_Table!AA$4)=0,"",SUMIFS(Data_Long_Form!$D:$D,Data_Long_Form!$C:$C,Data_Pivot_Table!$V88,Data_Long_Form!$A:$A,Data_Pivot_Table!AA$4))</f>
        <v>381.90278552963565</v>
      </c>
      <c r="AB88">
        <f>+IF(SUMIFS(Data_Long_Form!$D:$D,Data_Long_Form!$C:$C,Data_Pivot_Table!$V88,Data_Long_Form!$A:$A,Data_Pivot_Table!AB$4)=0,"",SUMIFS(Data_Long_Form!$D:$D,Data_Long_Form!$C:$C,Data_Pivot_Table!$V88,Data_Long_Form!$A:$A,Data_Pivot_Table!AB$4))</f>
        <v>294.24304958367333</v>
      </c>
      <c r="AC88">
        <f>+IF(SUMIFS(Data_Long_Form!$D:$D,Data_Long_Form!$C:$C,Data_Pivot_Table!$V88,Data_Long_Form!$A:$A,Data_Pivot_Table!AC$4)=0,"",SUMIFS(Data_Long_Form!$D:$D,Data_Long_Form!$C:$C,Data_Pivot_Table!$V88,Data_Long_Form!$A:$A,Data_Pivot_Table!AC$4))</f>
        <v>454.9277262165258</v>
      </c>
    </row>
    <row r="89" spans="1:29" x14ac:dyDescent="0.2">
      <c r="A89" s="5">
        <v>0.42429398148148151</v>
      </c>
      <c r="B89" s="4"/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/>
      <c r="I89" s="4">
        <v>5</v>
      </c>
      <c r="J89" s="4"/>
      <c r="K89">
        <v>0.42429398148148151</v>
      </c>
      <c r="L89">
        <v>1</v>
      </c>
      <c r="M89">
        <v>1</v>
      </c>
      <c r="P89">
        <v>1</v>
      </c>
      <c r="Q89">
        <v>1</v>
      </c>
      <c r="R89">
        <v>1</v>
      </c>
      <c r="S89">
        <v>5</v>
      </c>
      <c r="V89" s="8">
        <v>0.42429398148148151</v>
      </c>
      <c r="W89">
        <f>+IF(SUMIFS(Data_Long_Form!$D:$D,Data_Long_Form!$C:$C,Data_Pivot_Table!$V89,Data_Long_Form!$A:$A,Data_Pivot_Table!W$4)=0,"",SUMIFS(Data_Long_Form!$D:$D,Data_Long_Form!$C:$C,Data_Pivot_Table!$V89,Data_Long_Form!$A:$A,Data_Pivot_Table!W$4))</f>
        <v>309.3814704128211</v>
      </c>
      <c r="X89">
        <f>+IF(SUMIFS(Data_Long_Form!$D:$D,Data_Long_Form!$C:$C,Data_Pivot_Table!$V89,Data_Long_Form!$A:$A,Data_Pivot_Table!X$4)=0,"",SUMIFS(Data_Long_Form!$D:$D,Data_Long_Form!$C:$C,Data_Pivot_Table!$V89,Data_Long_Form!$A:$A,Data_Pivot_Table!X$4))</f>
        <v>353.31984923819743</v>
      </c>
      <c r="Y89" t="str">
        <f>+IF(SUMIFS(Data_Long_Form!$D:$D,Data_Long_Form!$C:$C,Data_Pivot_Table!$V89,Data_Long_Form!$A:$A,Data_Pivot_Table!Y$4)=0,"",SUMIFS(Data_Long_Form!$D:$D,Data_Long_Form!$C:$C,Data_Pivot_Table!$V89,Data_Long_Form!$A:$A,Data_Pivot_Table!Y$4))</f>
        <v/>
      </c>
      <c r="Z89" t="str">
        <f>+IF(SUMIFS(Data_Long_Form!$D:$D,Data_Long_Form!$C:$C,Data_Pivot_Table!$V89,Data_Long_Form!$A:$A,Data_Pivot_Table!Z$4)=0,"",SUMIFS(Data_Long_Form!$D:$D,Data_Long_Form!$C:$C,Data_Pivot_Table!$V89,Data_Long_Form!$A:$A,Data_Pivot_Table!Z$4))</f>
        <v/>
      </c>
      <c r="AA89">
        <f>+IF(SUMIFS(Data_Long_Form!$D:$D,Data_Long_Form!$C:$C,Data_Pivot_Table!$V89,Data_Long_Form!$A:$A,Data_Pivot_Table!AA$4)=0,"",SUMIFS(Data_Long_Form!$D:$D,Data_Long_Form!$C:$C,Data_Pivot_Table!$V89,Data_Long_Form!$A:$A,Data_Pivot_Table!AA$4))</f>
        <v>399.03322111541121</v>
      </c>
      <c r="AB89">
        <f>+IF(SUMIFS(Data_Long_Form!$D:$D,Data_Long_Form!$C:$C,Data_Pivot_Table!$V89,Data_Long_Form!$A:$A,Data_Pivot_Table!AB$4)=0,"",SUMIFS(Data_Long_Form!$D:$D,Data_Long_Form!$C:$C,Data_Pivot_Table!$V89,Data_Long_Form!$A:$A,Data_Pivot_Table!AB$4))</f>
        <v>312.16815159607353</v>
      </c>
      <c r="AC89">
        <f>+IF(SUMIFS(Data_Long_Form!$D:$D,Data_Long_Form!$C:$C,Data_Pivot_Table!$V89,Data_Long_Form!$A:$A,Data_Pivot_Table!AC$4)=0,"",SUMIFS(Data_Long_Form!$D:$D,Data_Long_Form!$C:$C,Data_Pivot_Table!$V89,Data_Long_Form!$A:$A,Data_Pivot_Table!AC$4))</f>
        <v>457.14635106777013</v>
      </c>
    </row>
    <row r="90" spans="1:29" x14ac:dyDescent="0.2">
      <c r="A90" s="5">
        <v>0.42430555555555555</v>
      </c>
      <c r="B90" s="4"/>
      <c r="C90" s="4">
        <v>1</v>
      </c>
      <c r="D90" s="4"/>
      <c r="E90" s="4">
        <v>1</v>
      </c>
      <c r="F90" s="4"/>
      <c r="G90" s="4">
        <v>1</v>
      </c>
      <c r="H90" s="4"/>
      <c r="I90" s="4">
        <v>3</v>
      </c>
      <c r="J90" s="4"/>
      <c r="K90">
        <v>0.42430555555555555</v>
      </c>
      <c r="M90">
        <v>1</v>
      </c>
      <c r="P90">
        <v>1</v>
      </c>
      <c r="R90">
        <v>1</v>
      </c>
      <c r="S90">
        <v>3</v>
      </c>
      <c r="V90" s="8">
        <v>0.42430555555555555</v>
      </c>
      <c r="W90" t="str">
        <f>+IF(SUMIFS(Data_Long_Form!$D:$D,Data_Long_Form!$C:$C,Data_Pivot_Table!$V90,Data_Long_Form!$A:$A,Data_Pivot_Table!W$4)=0,"",SUMIFS(Data_Long_Form!$D:$D,Data_Long_Form!$C:$C,Data_Pivot_Table!$V90,Data_Long_Form!$A:$A,Data_Pivot_Table!W$4))</f>
        <v/>
      </c>
      <c r="X90">
        <f>+IF(SUMIFS(Data_Long_Form!$D:$D,Data_Long_Form!$C:$C,Data_Pivot_Table!$V90,Data_Long_Form!$A:$A,Data_Pivot_Table!X$4)=0,"",SUMIFS(Data_Long_Form!$D:$D,Data_Long_Form!$C:$C,Data_Pivot_Table!$V90,Data_Long_Form!$A:$A,Data_Pivot_Table!X$4))</f>
        <v>354.08819214409158</v>
      </c>
      <c r="Y90" t="str">
        <f>+IF(SUMIFS(Data_Long_Form!$D:$D,Data_Long_Form!$C:$C,Data_Pivot_Table!$V90,Data_Long_Form!$A:$A,Data_Pivot_Table!Y$4)=0,"",SUMIFS(Data_Long_Form!$D:$D,Data_Long_Form!$C:$C,Data_Pivot_Table!$V90,Data_Long_Form!$A:$A,Data_Pivot_Table!Y$4))</f>
        <v/>
      </c>
      <c r="Z90" t="str">
        <f>+IF(SUMIFS(Data_Long_Form!$D:$D,Data_Long_Form!$C:$C,Data_Pivot_Table!$V90,Data_Long_Form!$A:$A,Data_Pivot_Table!Z$4)=0,"",SUMIFS(Data_Long_Form!$D:$D,Data_Long_Form!$C:$C,Data_Pivot_Table!$V90,Data_Long_Form!$A:$A,Data_Pivot_Table!Z$4))</f>
        <v/>
      </c>
      <c r="AA90">
        <f>+IF(SUMIFS(Data_Long_Form!$D:$D,Data_Long_Form!$C:$C,Data_Pivot_Table!$V90,Data_Long_Form!$A:$A,Data_Pivot_Table!AA$4)=0,"",SUMIFS(Data_Long_Form!$D:$D,Data_Long_Form!$C:$C,Data_Pivot_Table!$V90,Data_Long_Form!$A:$A,Data_Pivot_Table!AA$4))</f>
        <v>397.34773996742655</v>
      </c>
      <c r="AB90" t="str">
        <f>+IF(SUMIFS(Data_Long_Form!$D:$D,Data_Long_Form!$C:$C,Data_Pivot_Table!$V90,Data_Long_Form!$A:$A,Data_Pivot_Table!AB$4)=0,"",SUMIFS(Data_Long_Form!$D:$D,Data_Long_Form!$C:$C,Data_Pivot_Table!$V90,Data_Long_Form!$A:$A,Data_Pivot_Table!AB$4))</f>
        <v/>
      </c>
      <c r="AC90">
        <f>+IF(SUMIFS(Data_Long_Form!$D:$D,Data_Long_Form!$C:$C,Data_Pivot_Table!$V90,Data_Long_Form!$A:$A,Data_Pivot_Table!AC$4)=0,"",SUMIFS(Data_Long_Form!$D:$D,Data_Long_Form!$C:$C,Data_Pivot_Table!$V90,Data_Long_Form!$A:$A,Data_Pivot_Table!AC$4))</f>
        <v>457.04614059701629</v>
      </c>
    </row>
    <row r="91" spans="1:29" x14ac:dyDescent="0.2">
      <c r="A91" s="5">
        <v>0.42431712962962964</v>
      </c>
      <c r="B91" s="4"/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/>
      <c r="I91" s="4">
        <v>5</v>
      </c>
      <c r="J91" s="4"/>
      <c r="K91">
        <v>0.42431712962962964</v>
      </c>
      <c r="L91">
        <v>1</v>
      </c>
      <c r="M91">
        <v>1</v>
      </c>
      <c r="P91">
        <v>1</v>
      </c>
      <c r="Q91">
        <v>1</v>
      </c>
      <c r="R91">
        <v>1</v>
      </c>
      <c r="S91">
        <v>5</v>
      </c>
      <c r="V91" s="8">
        <v>0.42431712962962964</v>
      </c>
      <c r="W91">
        <f>+IF(SUMIFS(Data_Long_Form!$D:$D,Data_Long_Form!$C:$C,Data_Pivot_Table!$V91,Data_Long_Form!$A:$A,Data_Pivot_Table!W$4)=0,"",SUMIFS(Data_Long_Form!$D:$D,Data_Long_Form!$C:$C,Data_Pivot_Table!$V91,Data_Long_Form!$A:$A,Data_Pivot_Table!W$4))</f>
        <v>362.82763340332895</v>
      </c>
      <c r="X91">
        <f>+IF(SUMIFS(Data_Long_Form!$D:$D,Data_Long_Form!$C:$C,Data_Pivot_Table!$V91,Data_Long_Form!$A:$A,Data_Pivot_Table!X$4)=0,"",SUMIFS(Data_Long_Form!$D:$D,Data_Long_Form!$C:$C,Data_Pivot_Table!$V91,Data_Long_Form!$A:$A,Data_Pivot_Table!X$4))</f>
        <v>356.01050382957817</v>
      </c>
      <c r="Y91" t="str">
        <f>+IF(SUMIFS(Data_Long_Form!$D:$D,Data_Long_Form!$C:$C,Data_Pivot_Table!$V91,Data_Long_Form!$A:$A,Data_Pivot_Table!Y$4)=0,"",SUMIFS(Data_Long_Form!$D:$D,Data_Long_Form!$C:$C,Data_Pivot_Table!$V91,Data_Long_Form!$A:$A,Data_Pivot_Table!Y$4))</f>
        <v/>
      </c>
      <c r="Z91" t="str">
        <f>+IF(SUMIFS(Data_Long_Form!$D:$D,Data_Long_Form!$C:$C,Data_Pivot_Table!$V91,Data_Long_Form!$A:$A,Data_Pivot_Table!Z$4)=0,"",SUMIFS(Data_Long_Form!$D:$D,Data_Long_Form!$C:$C,Data_Pivot_Table!$V91,Data_Long_Form!$A:$A,Data_Pivot_Table!Z$4))</f>
        <v/>
      </c>
      <c r="AA91">
        <f>+IF(SUMIFS(Data_Long_Form!$D:$D,Data_Long_Form!$C:$C,Data_Pivot_Table!$V91,Data_Long_Form!$A:$A,Data_Pivot_Table!AA$4)=0,"",SUMIFS(Data_Long_Form!$D:$D,Data_Long_Form!$C:$C,Data_Pivot_Table!$V91,Data_Long_Form!$A:$A,Data_Pivot_Table!AA$4))</f>
        <v>373.64610738410482</v>
      </c>
      <c r="AB91">
        <f>+IF(SUMIFS(Data_Long_Form!$D:$D,Data_Long_Form!$C:$C,Data_Pivot_Table!$V91,Data_Long_Form!$A:$A,Data_Pivot_Table!AB$4)=0,"",SUMIFS(Data_Long_Form!$D:$D,Data_Long_Form!$C:$C,Data_Pivot_Table!$V91,Data_Long_Form!$A:$A,Data_Pivot_Table!AB$4))</f>
        <v>285.83447607016859</v>
      </c>
      <c r="AC91">
        <f>+IF(SUMIFS(Data_Long_Form!$D:$D,Data_Long_Form!$C:$C,Data_Pivot_Table!$V91,Data_Long_Form!$A:$A,Data_Pivot_Table!AC$4)=0,"",SUMIFS(Data_Long_Form!$D:$D,Data_Long_Form!$C:$C,Data_Pivot_Table!$V91,Data_Long_Form!$A:$A,Data_Pivot_Table!AC$4))</f>
        <v>462.81418483886478</v>
      </c>
    </row>
    <row r="92" spans="1:29" x14ac:dyDescent="0.2">
      <c r="A92" s="5">
        <v>0.42432870370370368</v>
      </c>
      <c r="B92" s="4"/>
      <c r="C92" s="4"/>
      <c r="D92" s="4"/>
      <c r="E92" s="4"/>
      <c r="F92" s="4">
        <v>1</v>
      </c>
      <c r="G92" s="4">
        <v>1</v>
      </c>
      <c r="H92" s="4"/>
      <c r="I92" s="4">
        <v>2</v>
      </c>
      <c r="J92" s="4"/>
      <c r="K92">
        <v>0.42432870370370368</v>
      </c>
      <c r="L92">
        <v>1</v>
      </c>
      <c r="M92">
        <v>1</v>
      </c>
      <c r="S92">
        <v>2</v>
      </c>
      <c r="V92" s="8">
        <v>0.42432870370370368</v>
      </c>
      <c r="W92">
        <f>+IF(SUMIFS(Data_Long_Form!$D:$D,Data_Long_Form!$C:$C,Data_Pivot_Table!$V92,Data_Long_Form!$A:$A,Data_Pivot_Table!W$4)=0,"",SUMIFS(Data_Long_Form!$D:$D,Data_Long_Form!$C:$C,Data_Pivot_Table!$V92,Data_Long_Form!$A:$A,Data_Pivot_Table!W$4))</f>
        <v>385.16142007236346</v>
      </c>
      <c r="X92">
        <f>+IF(SUMIFS(Data_Long_Form!$D:$D,Data_Long_Form!$C:$C,Data_Pivot_Table!$V92,Data_Long_Form!$A:$A,Data_Pivot_Table!X$4)=0,"",SUMIFS(Data_Long_Form!$D:$D,Data_Long_Form!$C:$C,Data_Pivot_Table!$V92,Data_Long_Form!$A:$A,Data_Pivot_Table!X$4))</f>
        <v>350.62723273262213</v>
      </c>
      <c r="Y92" t="str">
        <f>+IF(SUMIFS(Data_Long_Form!$D:$D,Data_Long_Form!$C:$C,Data_Pivot_Table!$V92,Data_Long_Form!$A:$A,Data_Pivot_Table!Y$4)=0,"",SUMIFS(Data_Long_Form!$D:$D,Data_Long_Form!$C:$C,Data_Pivot_Table!$V92,Data_Long_Form!$A:$A,Data_Pivot_Table!Y$4))</f>
        <v/>
      </c>
      <c r="Z92" t="str">
        <f>+IF(SUMIFS(Data_Long_Form!$D:$D,Data_Long_Form!$C:$C,Data_Pivot_Table!$V92,Data_Long_Form!$A:$A,Data_Pivot_Table!Z$4)=0,"",SUMIFS(Data_Long_Form!$D:$D,Data_Long_Form!$C:$C,Data_Pivot_Table!$V92,Data_Long_Form!$A:$A,Data_Pivot_Table!Z$4))</f>
        <v/>
      </c>
      <c r="AA92" t="str">
        <f>+IF(SUMIFS(Data_Long_Form!$D:$D,Data_Long_Form!$C:$C,Data_Pivot_Table!$V92,Data_Long_Form!$A:$A,Data_Pivot_Table!AA$4)=0,"",SUMIFS(Data_Long_Form!$D:$D,Data_Long_Form!$C:$C,Data_Pivot_Table!$V92,Data_Long_Form!$A:$A,Data_Pivot_Table!AA$4))</f>
        <v/>
      </c>
      <c r="AB92" t="str">
        <f>+IF(SUMIFS(Data_Long_Form!$D:$D,Data_Long_Form!$C:$C,Data_Pivot_Table!$V92,Data_Long_Form!$A:$A,Data_Pivot_Table!AB$4)=0,"",SUMIFS(Data_Long_Form!$D:$D,Data_Long_Form!$C:$C,Data_Pivot_Table!$V92,Data_Long_Form!$A:$A,Data_Pivot_Table!AB$4))</f>
        <v/>
      </c>
      <c r="AC92" t="str">
        <f>+IF(SUMIFS(Data_Long_Form!$D:$D,Data_Long_Form!$C:$C,Data_Pivot_Table!$V92,Data_Long_Form!$A:$A,Data_Pivot_Table!AC$4)=0,"",SUMIFS(Data_Long_Form!$D:$D,Data_Long_Form!$C:$C,Data_Pivot_Table!$V92,Data_Long_Form!$A:$A,Data_Pivot_Table!AC$4))</f>
        <v/>
      </c>
    </row>
    <row r="93" spans="1:29" x14ac:dyDescent="0.2">
      <c r="A93" s="5">
        <v>0.42434027777777777</v>
      </c>
      <c r="B93" s="4">
        <v>1</v>
      </c>
      <c r="C93" s="4"/>
      <c r="D93" s="4">
        <v>1</v>
      </c>
      <c r="E93" s="4"/>
      <c r="F93" s="4">
        <v>1</v>
      </c>
      <c r="G93" s="4">
        <v>1</v>
      </c>
      <c r="H93" s="4"/>
      <c r="I93" s="4">
        <v>4</v>
      </c>
      <c r="J93" s="4"/>
      <c r="K93">
        <v>0.42434027777777777</v>
      </c>
      <c r="L93">
        <v>1</v>
      </c>
      <c r="M93">
        <v>1</v>
      </c>
      <c r="O93">
        <v>1</v>
      </c>
      <c r="Q93">
        <v>1</v>
      </c>
      <c r="S93">
        <v>4</v>
      </c>
      <c r="V93" s="8">
        <v>0.42434027777777777</v>
      </c>
      <c r="W93">
        <f>+IF(SUMIFS(Data_Long_Form!$D:$D,Data_Long_Form!$C:$C,Data_Pivot_Table!$V93,Data_Long_Form!$A:$A,Data_Pivot_Table!W$4)=0,"",SUMIFS(Data_Long_Form!$D:$D,Data_Long_Form!$C:$C,Data_Pivot_Table!$V93,Data_Long_Form!$A:$A,Data_Pivot_Table!W$4))</f>
        <v>369.29812042033376</v>
      </c>
      <c r="X93">
        <f>+IF(SUMIFS(Data_Long_Form!$D:$D,Data_Long_Form!$C:$C,Data_Pivot_Table!$V93,Data_Long_Form!$A:$A,Data_Pivot_Table!X$4)=0,"",SUMIFS(Data_Long_Form!$D:$D,Data_Long_Form!$C:$C,Data_Pivot_Table!$V93,Data_Long_Form!$A:$A,Data_Pivot_Table!X$4))</f>
        <v>339.97124142617463</v>
      </c>
      <c r="Y93" t="str">
        <f>+IF(SUMIFS(Data_Long_Form!$D:$D,Data_Long_Form!$C:$C,Data_Pivot_Table!$V93,Data_Long_Form!$A:$A,Data_Pivot_Table!Y$4)=0,"",SUMIFS(Data_Long_Form!$D:$D,Data_Long_Form!$C:$C,Data_Pivot_Table!$V93,Data_Long_Form!$A:$A,Data_Pivot_Table!Y$4))</f>
        <v/>
      </c>
      <c r="Z93">
        <f>+IF(SUMIFS(Data_Long_Form!$D:$D,Data_Long_Form!$C:$C,Data_Pivot_Table!$V93,Data_Long_Form!$A:$A,Data_Pivot_Table!Z$4)=0,"",SUMIFS(Data_Long_Form!$D:$D,Data_Long_Form!$C:$C,Data_Pivot_Table!$V93,Data_Long_Form!$A:$A,Data_Pivot_Table!Z$4))</f>
        <v>324.96901116481547</v>
      </c>
      <c r="AA93" t="str">
        <f>+IF(SUMIFS(Data_Long_Form!$D:$D,Data_Long_Form!$C:$C,Data_Pivot_Table!$V93,Data_Long_Form!$A:$A,Data_Pivot_Table!AA$4)=0,"",SUMIFS(Data_Long_Form!$D:$D,Data_Long_Form!$C:$C,Data_Pivot_Table!$V93,Data_Long_Form!$A:$A,Data_Pivot_Table!AA$4))</f>
        <v/>
      </c>
      <c r="AB93">
        <f>+IF(SUMIFS(Data_Long_Form!$D:$D,Data_Long_Form!$C:$C,Data_Pivot_Table!$V93,Data_Long_Form!$A:$A,Data_Pivot_Table!AB$4)=0,"",SUMIFS(Data_Long_Form!$D:$D,Data_Long_Form!$C:$C,Data_Pivot_Table!$V93,Data_Long_Form!$A:$A,Data_Pivot_Table!AB$4))</f>
        <v>337.90227605447217</v>
      </c>
      <c r="AC93" t="str">
        <f>+IF(SUMIFS(Data_Long_Form!$D:$D,Data_Long_Form!$C:$C,Data_Pivot_Table!$V93,Data_Long_Form!$A:$A,Data_Pivot_Table!AC$4)=0,"",SUMIFS(Data_Long_Form!$D:$D,Data_Long_Form!$C:$C,Data_Pivot_Table!$V93,Data_Long_Form!$A:$A,Data_Pivot_Table!AC$4))</f>
        <v/>
      </c>
    </row>
    <row r="94" spans="1:29" x14ac:dyDescent="0.2">
      <c r="A94" s="5">
        <v>0.42435185185185187</v>
      </c>
      <c r="B94" s="4">
        <v>1</v>
      </c>
      <c r="C94" s="4"/>
      <c r="D94" s="4"/>
      <c r="E94" s="4"/>
      <c r="F94" s="4">
        <v>1</v>
      </c>
      <c r="G94" s="4">
        <v>1</v>
      </c>
      <c r="H94" s="4"/>
      <c r="I94" s="4">
        <v>3</v>
      </c>
      <c r="J94" s="4"/>
      <c r="K94">
        <v>0.42435185185185187</v>
      </c>
      <c r="L94">
        <v>1</v>
      </c>
      <c r="M94">
        <v>1</v>
      </c>
      <c r="O94">
        <v>1</v>
      </c>
      <c r="S94">
        <v>3</v>
      </c>
      <c r="V94" s="8">
        <v>0.42435185185185187</v>
      </c>
      <c r="W94">
        <f>+IF(SUMIFS(Data_Long_Form!$D:$D,Data_Long_Form!$C:$C,Data_Pivot_Table!$V94,Data_Long_Form!$A:$A,Data_Pivot_Table!W$4)=0,"",SUMIFS(Data_Long_Form!$D:$D,Data_Long_Form!$C:$C,Data_Pivot_Table!$V94,Data_Long_Form!$A:$A,Data_Pivot_Table!W$4))</f>
        <v>363.77626582015262</v>
      </c>
      <c r="X94">
        <f>+IF(SUMIFS(Data_Long_Form!$D:$D,Data_Long_Form!$C:$C,Data_Pivot_Table!$V94,Data_Long_Form!$A:$A,Data_Pivot_Table!X$4)=0,"",SUMIFS(Data_Long_Form!$D:$D,Data_Long_Form!$C:$C,Data_Pivot_Table!$V94,Data_Long_Form!$A:$A,Data_Pivot_Table!X$4))</f>
        <v>332.32006516395415</v>
      </c>
      <c r="Y94" t="str">
        <f>+IF(SUMIFS(Data_Long_Form!$D:$D,Data_Long_Form!$C:$C,Data_Pivot_Table!$V94,Data_Long_Form!$A:$A,Data_Pivot_Table!Y$4)=0,"",SUMIFS(Data_Long_Form!$D:$D,Data_Long_Form!$C:$C,Data_Pivot_Table!$V94,Data_Long_Form!$A:$A,Data_Pivot_Table!Y$4))</f>
        <v/>
      </c>
      <c r="Z94">
        <f>+IF(SUMIFS(Data_Long_Form!$D:$D,Data_Long_Form!$C:$C,Data_Pivot_Table!$V94,Data_Long_Form!$A:$A,Data_Pivot_Table!Z$4)=0,"",SUMIFS(Data_Long_Form!$D:$D,Data_Long_Form!$C:$C,Data_Pivot_Table!$V94,Data_Long_Form!$A:$A,Data_Pivot_Table!Z$4))</f>
        <v>326.80690874499322</v>
      </c>
      <c r="AA94" t="str">
        <f>+IF(SUMIFS(Data_Long_Form!$D:$D,Data_Long_Form!$C:$C,Data_Pivot_Table!$V94,Data_Long_Form!$A:$A,Data_Pivot_Table!AA$4)=0,"",SUMIFS(Data_Long_Form!$D:$D,Data_Long_Form!$C:$C,Data_Pivot_Table!$V94,Data_Long_Form!$A:$A,Data_Pivot_Table!AA$4))</f>
        <v/>
      </c>
      <c r="AB94" t="str">
        <f>+IF(SUMIFS(Data_Long_Form!$D:$D,Data_Long_Form!$C:$C,Data_Pivot_Table!$V94,Data_Long_Form!$A:$A,Data_Pivot_Table!AB$4)=0,"",SUMIFS(Data_Long_Form!$D:$D,Data_Long_Form!$C:$C,Data_Pivot_Table!$V94,Data_Long_Form!$A:$A,Data_Pivot_Table!AB$4))</f>
        <v/>
      </c>
      <c r="AC94" t="str">
        <f>+IF(SUMIFS(Data_Long_Form!$D:$D,Data_Long_Form!$C:$C,Data_Pivot_Table!$V94,Data_Long_Form!$A:$A,Data_Pivot_Table!AC$4)=0,"",SUMIFS(Data_Long_Form!$D:$D,Data_Long_Form!$C:$C,Data_Pivot_Table!$V94,Data_Long_Form!$A:$A,Data_Pivot_Table!AC$4))</f>
        <v/>
      </c>
    </row>
    <row r="95" spans="1:29" x14ac:dyDescent="0.2">
      <c r="A95" s="5">
        <v>0.42436342592592591</v>
      </c>
      <c r="B95" s="4"/>
      <c r="C95" s="4"/>
      <c r="D95" s="4"/>
      <c r="E95" s="4"/>
      <c r="F95" s="4"/>
      <c r="G95" s="4">
        <v>1</v>
      </c>
      <c r="H95" s="4"/>
      <c r="I95" s="4">
        <v>1</v>
      </c>
      <c r="J95" s="4"/>
      <c r="K95">
        <v>0.42436342592592591</v>
      </c>
      <c r="M95">
        <v>1</v>
      </c>
      <c r="S95">
        <v>1</v>
      </c>
      <c r="V95" s="8">
        <v>0.42436342592592591</v>
      </c>
      <c r="W95" t="str">
        <f>+IF(SUMIFS(Data_Long_Form!$D:$D,Data_Long_Form!$C:$C,Data_Pivot_Table!$V95,Data_Long_Form!$A:$A,Data_Pivot_Table!W$4)=0,"",SUMIFS(Data_Long_Form!$D:$D,Data_Long_Form!$C:$C,Data_Pivot_Table!$V95,Data_Long_Form!$A:$A,Data_Pivot_Table!W$4))</f>
        <v/>
      </c>
      <c r="X95">
        <f>+IF(SUMIFS(Data_Long_Form!$D:$D,Data_Long_Form!$C:$C,Data_Pivot_Table!$V95,Data_Long_Form!$A:$A,Data_Pivot_Table!X$4)=0,"",SUMIFS(Data_Long_Form!$D:$D,Data_Long_Form!$C:$C,Data_Pivot_Table!$V95,Data_Long_Form!$A:$A,Data_Pivot_Table!X$4))</f>
        <v>363.2047081353312</v>
      </c>
      <c r="Y95" t="str">
        <f>+IF(SUMIFS(Data_Long_Form!$D:$D,Data_Long_Form!$C:$C,Data_Pivot_Table!$V95,Data_Long_Form!$A:$A,Data_Pivot_Table!Y$4)=0,"",SUMIFS(Data_Long_Form!$D:$D,Data_Long_Form!$C:$C,Data_Pivot_Table!$V95,Data_Long_Form!$A:$A,Data_Pivot_Table!Y$4))</f>
        <v/>
      </c>
      <c r="Z95" t="str">
        <f>+IF(SUMIFS(Data_Long_Form!$D:$D,Data_Long_Form!$C:$C,Data_Pivot_Table!$V95,Data_Long_Form!$A:$A,Data_Pivot_Table!Z$4)=0,"",SUMIFS(Data_Long_Form!$D:$D,Data_Long_Form!$C:$C,Data_Pivot_Table!$V95,Data_Long_Form!$A:$A,Data_Pivot_Table!Z$4))</f>
        <v/>
      </c>
      <c r="AA95" t="str">
        <f>+IF(SUMIFS(Data_Long_Form!$D:$D,Data_Long_Form!$C:$C,Data_Pivot_Table!$V95,Data_Long_Form!$A:$A,Data_Pivot_Table!AA$4)=0,"",SUMIFS(Data_Long_Form!$D:$D,Data_Long_Form!$C:$C,Data_Pivot_Table!$V95,Data_Long_Form!$A:$A,Data_Pivot_Table!AA$4))</f>
        <v/>
      </c>
      <c r="AB95" t="str">
        <f>+IF(SUMIFS(Data_Long_Form!$D:$D,Data_Long_Form!$C:$C,Data_Pivot_Table!$V95,Data_Long_Form!$A:$A,Data_Pivot_Table!AB$4)=0,"",SUMIFS(Data_Long_Form!$D:$D,Data_Long_Form!$C:$C,Data_Pivot_Table!$V95,Data_Long_Form!$A:$A,Data_Pivot_Table!AB$4))</f>
        <v/>
      </c>
      <c r="AC95" t="str">
        <f>+IF(SUMIFS(Data_Long_Form!$D:$D,Data_Long_Form!$C:$C,Data_Pivot_Table!$V95,Data_Long_Form!$A:$A,Data_Pivot_Table!AC$4)=0,"",SUMIFS(Data_Long_Form!$D:$D,Data_Long_Form!$C:$C,Data_Pivot_Table!$V95,Data_Long_Form!$A:$A,Data_Pivot_Table!AC$4))</f>
        <v/>
      </c>
    </row>
    <row r="96" spans="1:29" x14ac:dyDescent="0.2">
      <c r="A96" s="5">
        <v>0.42439814814814814</v>
      </c>
      <c r="B96" s="4"/>
      <c r="C96" s="4"/>
      <c r="D96" s="4">
        <v>1</v>
      </c>
      <c r="E96" s="4"/>
      <c r="F96" s="4"/>
      <c r="G96" s="4"/>
      <c r="H96" s="4"/>
      <c r="I96" s="4">
        <v>1</v>
      </c>
      <c r="J96" s="4"/>
      <c r="K96">
        <v>0.42439814814814814</v>
      </c>
      <c r="Q96">
        <v>1</v>
      </c>
      <c r="S96">
        <v>1</v>
      </c>
      <c r="V96" s="8">
        <v>0.42439814814814814</v>
      </c>
      <c r="W96" t="str">
        <f>+IF(SUMIFS(Data_Long_Form!$D:$D,Data_Long_Form!$C:$C,Data_Pivot_Table!$V96,Data_Long_Form!$A:$A,Data_Pivot_Table!W$4)=0,"",SUMIFS(Data_Long_Form!$D:$D,Data_Long_Form!$C:$C,Data_Pivot_Table!$V96,Data_Long_Form!$A:$A,Data_Pivot_Table!W$4))</f>
        <v/>
      </c>
      <c r="X96" t="str">
        <f>+IF(SUMIFS(Data_Long_Form!$D:$D,Data_Long_Form!$C:$C,Data_Pivot_Table!$V96,Data_Long_Form!$A:$A,Data_Pivot_Table!X$4)=0,"",SUMIFS(Data_Long_Form!$D:$D,Data_Long_Form!$C:$C,Data_Pivot_Table!$V96,Data_Long_Form!$A:$A,Data_Pivot_Table!X$4))</f>
        <v/>
      </c>
      <c r="Y96" t="str">
        <f>+IF(SUMIFS(Data_Long_Form!$D:$D,Data_Long_Form!$C:$C,Data_Pivot_Table!$V96,Data_Long_Form!$A:$A,Data_Pivot_Table!Y$4)=0,"",SUMIFS(Data_Long_Form!$D:$D,Data_Long_Form!$C:$C,Data_Pivot_Table!$V96,Data_Long_Form!$A:$A,Data_Pivot_Table!Y$4))</f>
        <v/>
      </c>
      <c r="Z96" t="str">
        <f>+IF(SUMIFS(Data_Long_Form!$D:$D,Data_Long_Form!$C:$C,Data_Pivot_Table!$V96,Data_Long_Form!$A:$A,Data_Pivot_Table!Z$4)=0,"",SUMIFS(Data_Long_Form!$D:$D,Data_Long_Form!$C:$C,Data_Pivot_Table!$V96,Data_Long_Form!$A:$A,Data_Pivot_Table!Z$4))</f>
        <v/>
      </c>
      <c r="AA96" t="str">
        <f>+IF(SUMIFS(Data_Long_Form!$D:$D,Data_Long_Form!$C:$C,Data_Pivot_Table!$V96,Data_Long_Form!$A:$A,Data_Pivot_Table!AA$4)=0,"",SUMIFS(Data_Long_Form!$D:$D,Data_Long_Form!$C:$C,Data_Pivot_Table!$V96,Data_Long_Form!$A:$A,Data_Pivot_Table!AA$4))</f>
        <v/>
      </c>
      <c r="AB96">
        <f>+IF(SUMIFS(Data_Long_Form!$D:$D,Data_Long_Form!$C:$C,Data_Pivot_Table!$V96,Data_Long_Form!$A:$A,Data_Pivot_Table!AB$4)=0,"",SUMIFS(Data_Long_Form!$D:$D,Data_Long_Form!$C:$C,Data_Pivot_Table!$V96,Data_Long_Form!$A:$A,Data_Pivot_Table!AB$4))</f>
        <v>415.21751877893155</v>
      </c>
      <c r="AC96" t="str">
        <f>+IF(SUMIFS(Data_Long_Form!$D:$D,Data_Long_Form!$C:$C,Data_Pivot_Table!$V96,Data_Long_Form!$A:$A,Data_Pivot_Table!AC$4)=0,"",SUMIFS(Data_Long_Form!$D:$D,Data_Long_Form!$C:$C,Data_Pivot_Table!$V96,Data_Long_Form!$A:$A,Data_Pivot_Table!AC$4))</f>
        <v/>
      </c>
    </row>
    <row r="97" spans="1:29" x14ac:dyDescent="0.2">
      <c r="A97" s="5">
        <v>0.42440972222222223</v>
      </c>
      <c r="B97" s="4"/>
      <c r="C97" s="4"/>
      <c r="D97" s="4"/>
      <c r="E97" s="4"/>
      <c r="F97" s="4"/>
      <c r="G97" s="4">
        <v>1</v>
      </c>
      <c r="H97" s="4"/>
      <c r="I97" s="4">
        <v>1</v>
      </c>
      <c r="J97" s="4"/>
      <c r="K97">
        <v>0.42440972222222223</v>
      </c>
      <c r="M97">
        <v>1</v>
      </c>
      <c r="S97">
        <v>1</v>
      </c>
      <c r="V97" s="8">
        <v>0.42440972222222223</v>
      </c>
      <c r="W97" t="str">
        <f>+IF(SUMIFS(Data_Long_Form!$D:$D,Data_Long_Form!$C:$C,Data_Pivot_Table!$V97,Data_Long_Form!$A:$A,Data_Pivot_Table!W$4)=0,"",SUMIFS(Data_Long_Form!$D:$D,Data_Long_Form!$C:$C,Data_Pivot_Table!$V97,Data_Long_Form!$A:$A,Data_Pivot_Table!W$4))</f>
        <v/>
      </c>
      <c r="X97">
        <f>+IF(SUMIFS(Data_Long_Form!$D:$D,Data_Long_Form!$C:$C,Data_Pivot_Table!$V97,Data_Long_Form!$A:$A,Data_Pivot_Table!X$4)=0,"",SUMIFS(Data_Long_Form!$D:$D,Data_Long_Form!$C:$C,Data_Pivot_Table!$V97,Data_Long_Form!$A:$A,Data_Pivot_Table!X$4))</f>
        <v>394.69702198503609</v>
      </c>
      <c r="Y97" t="str">
        <f>+IF(SUMIFS(Data_Long_Form!$D:$D,Data_Long_Form!$C:$C,Data_Pivot_Table!$V97,Data_Long_Form!$A:$A,Data_Pivot_Table!Y$4)=0,"",SUMIFS(Data_Long_Form!$D:$D,Data_Long_Form!$C:$C,Data_Pivot_Table!$V97,Data_Long_Form!$A:$A,Data_Pivot_Table!Y$4))</f>
        <v/>
      </c>
      <c r="Z97" t="str">
        <f>+IF(SUMIFS(Data_Long_Form!$D:$D,Data_Long_Form!$C:$C,Data_Pivot_Table!$V97,Data_Long_Form!$A:$A,Data_Pivot_Table!Z$4)=0,"",SUMIFS(Data_Long_Form!$D:$D,Data_Long_Form!$C:$C,Data_Pivot_Table!$V97,Data_Long_Form!$A:$A,Data_Pivot_Table!Z$4))</f>
        <v/>
      </c>
      <c r="AA97" t="str">
        <f>+IF(SUMIFS(Data_Long_Form!$D:$D,Data_Long_Form!$C:$C,Data_Pivot_Table!$V97,Data_Long_Form!$A:$A,Data_Pivot_Table!AA$4)=0,"",SUMIFS(Data_Long_Form!$D:$D,Data_Long_Form!$C:$C,Data_Pivot_Table!$V97,Data_Long_Form!$A:$A,Data_Pivot_Table!AA$4))</f>
        <v/>
      </c>
      <c r="AB97" t="str">
        <f>+IF(SUMIFS(Data_Long_Form!$D:$D,Data_Long_Form!$C:$C,Data_Pivot_Table!$V97,Data_Long_Form!$A:$A,Data_Pivot_Table!AB$4)=0,"",SUMIFS(Data_Long_Form!$D:$D,Data_Long_Form!$C:$C,Data_Pivot_Table!$V97,Data_Long_Form!$A:$A,Data_Pivot_Table!AB$4))</f>
        <v/>
      </c>
      <c r="AC97" t="str">
        <f>+IF(SUMIFS(Data_Long_Form!$D:$D,Data_Long_Form!$C:$C,Data_Pivot_Table!$V97,Data_Long_Form!$A:$A,Data_Pivot_Table!AC$4)=0,"",SUMIFS(Data_Long_Form!$D:$D,Data_Long_Form!$C:$C,Data_Pivot_Table!$V97,Data_Long_Form!$A:$A,Data_Pivot_Table!AC$4))</f>
        <v/>
      </c>
    </row>
    <row r="98" spans="1:29" x14ac:dyDescent="0.2">
      <c r="A98" s="5">
        <v>0.42443287037037036</v>
      </c>
      <c r="B98" s="4"/>
      <c r="C98" s="4"/>
      <c r="D98" s="4"/>
      <c r="E98" s="4"/>
      <c r="F98" s="4">
        <v>1</v>
      </c>
      <c r="G98" s="4">
        <v>1</v>
      </c>
      <c r="H98" s="4"/>
      <c r="I98" s="4">
        <v>2</v>
      </c>
      <c r="J98" s="4"/>
      <c r="K98">
        <v>0.42443287037037036</v>
      </c>
      <c r="L98">
        <v>1</v>
      </c>
      <c r="M98">
        <v>1</v>
      </c>
      <c r="S98">
        <v>2</v>
      </c>
      <c r="V98" s="8">
        <v>0.42443287037037036</v>
      </c>
      <c r="W98">
        <f>+IF(SUMIFS(Data_Long_Form!$D:$D,Data_Long_Form!$C:$C,Data_Pivot_Table!$V98,Data_Long_Form!$A:$A,Data_Pivot_Table!W$4)=0,"",SUMIFS(Data_Long_Form!$D:$D,Data_Long_Form!$C:$C,Data_Pivot_Table!$V98,Data_Long_Form!$A:$A,Data_Pivot_Table!W$4))</f>
        <v>362.56281144800084</v>
      </c>
      <c r="X98">
        <f>+IF(SUMIFS(Data_Long_Form!$D:$D,Data_Long_Form!$C:$C,Data_Pivot_Table!$V98,Data_Long_Form!$A:$A,Data_Pivot_Table!X$4)=0,"",SUMIFS(Data_Long_Form!$D:$D,Data_Long_Form!$C:$C,Data_Pivot_Table!$V98,Data_Long_Form!$A:$A,Data_Pivot_Table!X$4))</f>
        <v>379.89895762649155</v>
      </c>
      <c r="Y98" t="str">
        <f>+IF(SUMIFS(Data_Long_Form!$D:$D,Data_Long_Form!$C:$C,Data_Pivot_Table!$V98,Data_Long_Form!$A:$A,Data_Pivot_Table!Y$4)=0,"",SUMIFS(Data_Long_Form!$D:$D,Data_Long_Form!$C:$C,Data_Pivot_Table!$V98,Data_Long_Form!$A:$A,Data_Pivot_Table!Y$4))</f>
        <v/>
      </c>
      <c r="Z98" t="str">
        <f>+IF(SUMIFS(Data_Long_Form!$D:$D,Data_Long_Form!$C:$C,Data_Pivot_Table!$V98,Data_Long_Form!$A:$A,Data_Pivot_Table!Z$4)=0,"",SUMIFS(Data_Long_Form!$D:$D,Data_Long_Form!$C:$C,Data_Pivot_Table!$V98,Data_Long_Form!$A:$A,Data_Pivot_Table!Z$4))</f>
        <v/>
      </c>
      <c r="AA98" t="str">
        <f>+IF(SUMIFS(Data_Long_Form!$D:$D,Data_Long_Form!$C:$C,Data_Pivot_Table!$V98,Data_Long_Form!$A:$A,Data_Pivot_Table!AA$4)=0,"",SUMIFS(Data_Long_Form!$D:$D,Data_Long_Form!$C:$C,Data_Pivot_Table!$V98,Data_Long_Form!$A:$A,Data_Pivot_Table!AA$4))</f>
        <v/>
      </c>
      <c r="AB98" t="str">
        <f>+IF(SUMIFS(Data_Long_Form!$D:$D,Data_Long_Form!$C:$C,Data_Pivot_Table!$V98,Data_Long_Form!$A:$A,Data_Pivot_Table!AB$4)=0,"",SUMIFS(Data_Long_Form!$D:$D,Data_Long_Form!$C:$C,Data_Pivot_Table!$V98,Data_Long_Form!$A:$A,Data_Pivot_Table!AB$4))</f>
        <v/>
      </c>
      <c r="AC98" t="str">
        <f>+IF(SUMIFS(Data_Long_Form!$D:$D,Data_Long_Form!$C:$C,Data_Pivot_Table!$V98,Data_Long_Form!$A:$A,Data_Pivot_Table!AC$4)=0,"",SUMIFS(Data_Long_Form!$D:$D,Data_Long_Form!$C:$C,Data_Pivot_Table!$V98,Data_Long_Form!$A:$A,Data_Pivot_Table!AC$4))</f>
        <v/>
      </c>
    </row>
    <row r="99" spans="1:29" x14ac:dyDescent="0.2">
      <c r="A99" s="5">
        <v>0.42444444444444446</v>
      </c>
      <c r="B99" s="4"/>
      <c r="C99" s="4"/>
      <c r="D99" s="4"/>
      <c r="E99" s="4"/>
      <c r="F99" s="4">
        <v>1</v>
      </c>
      <c r="G99" s="4">
        <v>1</v>
      </c>
      <c r="H99" s="4"/>
      <c r="I99" s="4">
        <v>2</v>
      </c>
      <c r="J99" s="4"/>
      <c r="K99">
        <v>0.42444444444444446</v>
      </c>
      <c r="L99">
        <v>1</v>
      </c>
      <c r="M99">
        <v>1</v>
      </c>
      <c r="S99">
        <v>2</v>
      </c>
      <c r="V99" s="8">
        <v>0.42444444444444446</v>
      </c>
      <c r="W99">
        <f>+IF(SUMIFS(Data_Long_Form!$D:$D,Data_Long_Form!$C:$C,Data_Pivot_Table!$V99,Data_Long_Form!$A:$A,Data_Pivot_Table!W$4)=0,"",SUMIFS(Data_Long_Form!$D:$D,Data_Long_Form!$C:$C,Data_Pivot_Table!$V99,Data_Long_Form!$A:$A,Data_Pivot_Table!W$4))</f>
        <v>372.95266748549062</v>
      </c>
      <c r="X99">
        <f>+IF(SUMIFS(Data_Long_Form!$D:$D,Data_Long_Form!$C:$C,Data_Pivot_Table!$V99,Data_Long_Form!$A:$A,Data_Pivot_Table!X$4)=0,"",SUMIFS(Data_Long_Form!$D:$D,Data_Long_Form!$C:$C,Data_Pivot_Table!$V99,Data_Long_Form!$A:$A,Data_Pivot_Table!X$4))</f>
        <v>370.37753586653486</v>
      </c>
      <c r="Y99" t="str">
        <f>+IF(SUMIFS(Data_Long_Form!$D:$D,Data_Long_Form!$C:$C,Data_Pivot_Table!$V99,Data_Long_Form!$A:$A,Data_Pivot_Table!Y$4)=0,"",SUMIFS(Data_Long_Form!$D:$D,Data_Long_Form!$C:$C,Data_Pivot_Table!$V99,Data_Long_Form!$A:$A,Data_Pivot_Table!Y$4))</f>
        <v/>
      </c>
      <c r="Z99" t="str">
        <f>+IF(SUMIFS(Data_Long_Form!$D:$D,Data_Long_Form!$C:$C,Data_Pivot_Table!$V99,Data_Long_Form!$A:$A,Data_Pivot_Table!Z$4)=0,"",SUMIFS(Data_Long_Form!$D:$D,Data_Long_Form!$C:$C,Data_Pivot_Table!$V99,Data_Long_Form!$A:$A,Data_Pivot_Table!Z$4))</f>
        <v/>
      </c>
      <c r="AA99" t="str">
        <f>+IF(SUMIFS(Data_Long_Form!$D:$D,Data_Long_Form!$C:$C,Data_Pivot_Table!$V99,Data_Long_Form!$A:$A,Data_Pivot_Table!AA$4)=0,"",SUMIFS(Data_Long_Form!$D:$D,Data_Long_Form!$C:$C,Data_Pivot_Table!$V99,Data_Long_Form!$A:$A,Data_Pivot_Table!AA$4))</f>
        <v/>
      </c>
      <c r="AB99" t="str">
        <f>+IF(SUMIFS(Data_Long_Form!$D:$D,Data_Long_Form!$C:$C,Data_Pivot_Table!$V99,Data_Long_Form!$A:$A,Data_Pivot_Table!AB$4)=0,"",SUMIFS(Data_Long_Form!$D:$D,Data_Long_Form!$C:$C,Data_Pivot_Table!$V99,Data_Long_Form!$A:$A,Data_Pivot_Table!AB$4))</f>
        <v/>
      </c>
      <c r="AC99" t="str">
        <f>+IF(SUMIFS(Data_Long_Form!$D:$D,Data_Long_Form!$C:$C,Data_Pivot_Table!$V99,Data_Long_Form!$A:$A,Data_Pivot_Table!AC$4)=0,"",SUMIFS(Data_Long_Form!$D:$D,Data_Long_Form!$C:$C,Data_Pivot_Table!$V99,Data_Long_Form!$A:$A,Data_Pivot_Table!AC$4))</f>
        <v/>
      </c>
    </row>
    <row r="100" spans="1:29" x14ac:dyDescent="0.2">
      <c r="A100" s="5">
        <v>0.4244560185185185</v>
      </c>
      <c r="B100" s="4"/>
      <c r="C100" s="4"/>
      <c r="D100" s="4"/>
      <c r="E100" s="4"/>
      <c r="F100" s="4">
        <v>1</v>
      </c>
      <c r="G100" s="4">
        <v>1</v>
      </c>
      <c r="H100" s="4"/>
      <c r="I100" s="4">
        <v>2</v>
      </c>
      <c r="J100" s="4"/>
      <c r="K100">
        <v>0.4244560185185185</v>
      </c>
      <c r="L100">
        <v>1</v>
      </c>
      <c r="M100">
        <v>1</v>
      </c>
      <c r="S100">
        <v>2</v>
      </c>
      <c r="V100" s="8">
        <v>0.4244560185185185</v>
      </c>
      <c r="W100">
        <f>+IF(SUMIFS(Data_Long_Form!$D:$D,Data_Long_Form!$C:$C,Data_Pivot_Table!$V100,Data_Long_Form!$A:$A,Data_Pivot_Table!W$4)=0,"",SUMIFS(Data_Long_Form!$D:$D,Data_Long_Form!$C:$C,Data_Pivot_Table!$V100,Data_Long_Form!$A:$A,Data_Pivot_Table!W$4))</f>
        <v>367.14851436566232</v>
      </c>
      <c r="X100">
        <f>+IF(SUMIFS(Data_Long_Form!$D:$D,Data_Long_Form!$C:$C,Data_Pivot_Table!$V100,Data_Long_Form!$A:$A,Data_Pivot_Table!X$4)=0,"",SUMIFS(Data_Long_Form!$D:$D,Data_Long_Form!$C:$C,Data_Pivot_Table!$V100,Data_Long_Form!$A:$A,Data_Pivot_Table!X$4))</f>
        <v>361.78466225048169</v>
      </c>
      <c r="Y100" t="str">
        <f>+IF(SUMIFS(Data_Long_Form!$D:$D,Data_Long_Form!$C:$C,Data_Pivot_Table!$V100,Data_Long_Form!$A:$A,Data_Pivot_Table!Y$4)=0,"",SUMIFS(Data_Long_Form!$D:$D,Data_Long_Form!$C:$C,Data_Pivot_Table!$V100,Data_Long_Form!$A:$A,Data_Pivot_Table!Y$4))</f>
        <v/>
      </c>
      <c r="Z100" t="str">
        <f>+IF(SUMIFS(Data_Long_Form!$D:$D,Data_Long_Form!$C:$C,Data_Pivot_Table!$V100,Data_Long_Form!$A:$A,Data_Pivot_Table!Z$4)=0,"",SUMIFS(Data_Long_Form!$D:$D,Data_Long_Form!$C:$C,Data_Pivot_Table!$V100,Data_Long_Form!$A:$A,Data_Pivot_Table!Z$4))</f>
        <v/>
      </c>
      <c r="AA100" t="str">
        <f>+IF(SUMIFS(Data_Long_Form!$D:$D,Data_Long_Form!$C:$C,Data_Pivot_Table!$V100,Data_Long_Form!$A:$A,Data_Pivot_Table!AA$4)=0,"",SUMIFS(Data_Long_Form!$D:$D,Data_Long_Form!$C:$C,Data_Pivot_Table!$V100,Data_Long_Form!$A:$A,Data_Pivot_Table!AA$4))</f>
        <v/>
      </c>
      <c r="AB100" t="str">
        <f>+IF(SUMIFS(Data_Long_Form!$D:$D,Data_Long_Form!$C:$C,Data_Pivot_Table!$V100,Data_Long_Form!$A:$A,Data_Pivot_Table!AB$4)=0,"",SUMIFS(Data_Long_Form!$D:$D,Data_Long_Form!$C:$C,Data_Pivot_Table!$V100,Data_Long_Form!$A:$A,Data_Pivot_Table!AB$4))</f>
        <v/>
      </c>
      <c r="AC100" t="str">
        <f>+IF(SUMIFS(Data_Long_Form!$D:$D,Data_Long_Form!$C:$C,Data_Pivot_Table!$V100,Data_Long_Form!$A:$A,Data_Pivot_Table!AC$4)=0,"",SUMIFS(Data_Long_Form!$D:$D,Data_Long_Form!$C:$C,Data_Pivot_Table!$V100,Data_Long_Form!$A:$A,Data_Pivot_Table!AC$4))</f>
        <v/>
      </c>
    </row>
    <row r="101" spans="1:29" x14ac:dyDescent="0.2">
      <c r="A101" s="5">
        <v>0.42446759259259259</v>
      </c>
      <c r="B101" s="4">
        <v>1</v>
      </c>
      <c r="C101" s="4">
        <v>1</v>
      </c>
      <c r="D101" s="4"/>
      <c r="E101" s="4"/>
      <c r="F101" s="4">
        <v>1</v>
      </c>
      <c r="G101" s="4">
        <v>1</v>
      </c>
      <c r="H101" s="4"/>
      <c r="I101" s="4">
        <v>4</v>
      </c>
      <c r="J101" s="4"/>
      <c r="K101">
        <v>0.42446759259259259</v>
      </c>
      <c r="L101">
        <v>1</v>
      </c>
      <c r="M101">
        <v>1</v>
      </c>
      <c r="O101">
        <v>1</v>
      </c>
      <c r="P101">
        <v>1</v>
      </c>
      <c r="S101">
        <v>4</v>
      </c>
      <c r="V101" s="8">
        <v>0.42446759259259259</v>
      </c>
      <c r="W101">
        <f>+IF(SUMIFS(Data_Long_Form!$D:$D,Data_Long_Form!$C:$C,Data_Pivot_Table!$V101,Data_Long_Form!$A:$A,Data_Pivot_Table!W$4)=0,"",SUMIFS(Data_Long_Form!$D:$D,Data_Long_Form!$C:$C,Data_Pivot_Table!$V101,Data_Long_Form!$A:$A,Data_Pivot_Table!W$4))</f>
        <v>371.07777666633268</v>
      </c>
      <c r="X101">
        <f>+IF(SUMIFS(Data_Long_Form!$D:$D,Data_Long_Form!$C:$C,Data_Pivot_Table!$V101,Data_Long_Form!$A:$A,Data_Pivot_Table!X$4)=0,"",SUMIFS(Data_Long_Form!$D:$D,Data_Long_Form!$C:$C,Data_Pivot_Table!$V101,Data_Long_Form!$A:$A,Data_Pivot_Table!X$4))</f>
        <v>349.63443621248291</v>
      </c>
      <c r="Y101" t="str">
        <f>+IF(SUMIFS(Data_Long_Form!$D:$D,Data_Long_Form!$C:$C,Data_Pivot_Table!$V101,Data_Long_Form!$A:$A,Data_Pivot_Table!Y$4)=0,"",SUMIFS(Data_Long_Form!$D:$D,Data_Long_Form!$C:$C,Data_Pivot_Table!$V101,Data_Long_Form!$A:$A,Data_Pivot_Table!Y$4))</f>
        <v/>
      </c>
      <c r="Z101">
        <f>+IF(SUMIFS(Data_Long_Form!$D:$D,Data_Long_Form!$C:$C,Data_Pivot_Table!$V101,Data_Long_Form!$A:$A,Data_Pivot_Table!Z$4)=0,"",SUMIFS(Data_Long_Form!$D:$D,Data_Long_Form!$C:$C,Data_Pivot_Table!$V101,Data_Long_Form!$A:$A,Data_Pivot_Table!Z$4))</f>
        <v>323.11541420267804</v>
      </c>
      <c r="AA101">
        <f>+IF(SUMIFS(Data_Long_Form!$D:$D,Data_Long_Form!$C:$C,Data_Pivot_Table!$V101,Data_Long_Form!$A:$A,Data_Pivot_Table!AA$4)=0,"",SUMIFS(Data_Long_Form!$D:$D,Data_Long_Form!$C:$C,Data_Pivot_Table!$V101,Data_Long_Form!$A:$A,Data_Pivot_Table!AA$4))</f>
        <v>245.88095537337782</v>
      </c>
      <c r="AB101" t="str">
        <f>+IF(SUMIFS(Data_Long_Form!$D:$D,Data_Long_Form!$C:$C,Data_Pivot_Table!$V101,Data_Long_Form!$A:$A,Data_Pivot_Table!AB$4)=0,"",SUMIFS(Data_Long_Form!$D:$D,Data_Long_Form!$C:$C,Data_Pivot_Table!$V101,Data_Long_Form!$A:$A,Data_Pivot_Table!AB$4))</f>
        <v/>
      </c>
      <c r="AC101" t="str">
        <f>+IF(SUMIFS(Data_Long_Form!$D:$D,Data_Long_Form!$C:$C,Data_Pivot_Table!$V101,Data_Long_Form!$A:$A,Data_Pivot_Table!AC$4)=0,"",SUMIFS(Data_Long_Form!$D:$D,Data_Long_Form!$C:$C,Data_Pivot_Table!$V101,Data_Long_Form!$A:$A,Data_Pivot_Table!AC$4))</f>
        <v/>
      </c>
    </row>
    <row r="102" spans="1:29" x14ac:dyDescent="0.2">
      <c r="A102" s="5">
        <v>0.4255902777777778</v>
      </c>
      <c r="B102" s="4"/>
      <c r="C102" s="4"/>
      <c r="D102" s="4"/>
      <c r="E102" s="4"/>
      <c r="F102" s="4"/>
      <c r="G102" s="4">
        <v>1</v>
      </c>
      <c r="H102" s="4"/>
      <c r="I102" s="4">
        <v>1</v>
      </c>
      <c r="J102" s="4"/>
      <c r="K102">
        <v>0.4255902777777778</v>
      </c>
      <c r="M102">
        <v>1</v>
      </c>
      <c r="S102">
        <v>1</v>
      </c>
      <c r="V102" s="8">
        <v>0.4255902777777778</v>
      </c>
      <c r="W102" t="str">
        <f>+IF(SUMIFS(Data_Long_Form!$D:$D,Data_Long_Form!$C:$C,Data_Pivot_Table!$V102,Data_Long_Form!$A:$A,Data_Pivot_Table!W$4)=0,"",SUMIFS(Data_Long_Form!$D:$D,Data_Long_Form!$C:$C,Data_Pivot_Table!$V102,Data_Long_Form!$A:$A,Data_Pivot_Table!W$4))</f>
        <v/>
      </c>
      <c r="X102">
        <f>+IF(SUMIFS(Data_Long_Form!$D:$D,Data_Long_Form!$C:$C,Data_Pivot_Table!$V102,Data_Long_Form!$A:$A,Data_Pivot_Table!X$4)=0,"",SUMIFS(Data_Long_Form!$D:$D,Data_Long_Form!$C:$C,Data_Pivot_Table!$V102,Data_Long_Form!$A:$A,Data_Pivot_Table!X$4))</f>
        <v>297.19657160463834</v>
      </c>
      <c r="Y102" t="str">
        <f>+IF(SUMIFS(Data_Long_Form!$D:$D,Data_Long_Form!$C:$C,Data_Pivot_Table!$V102,Data_Long_Form!$A:$A,Data_Pivot_Table!Y$4)=0,"",SUMIFS(Data_Long_Form!$D:$D,Data_Long_Form!$C:$C,Data_Pivot_Table!$V102,Data_Long_Form!$A:$A,Data_Pivot_Table!Y$4))</f>
        <v/>
      </c>
      <c r="Z102" t="str">
        <f>+IF(SUMIFS(Data_Long_Form!$D:$D,Data_Long_Form!$C:$C,Data_Pivot_Table!$V102,Data_Long_Form!$A:$A,Data_Pivot_Table!Z$4)=0,"",SUMIFS(Data_Long_Form!$D:$D,Data_Long_Form!$C:$C,Data_Pivot_Table!$V102,Data_Long_Form!$A:$A,Data_Pivot_Table!Z$4))</f>
        <v/>
      </c>
      <c r="AA102" t="str">
        <f>+IF(SUMIFS(Data_Long_Form!$D:$D,Data_Long_Form!$C:$C,Data_Pivot_Table!$V102,Data_Long_Form!$A:$A,Data_Pivot_Table!AA$4)=0,"",SUMIFS(Data_Long_Form!$D:$D,Data_Long_Form!$C:$C,Data_Pivot_Table!$V102,Data_Long_Form!$A:$A,Data_Pivot_Table!AA$4))</f>
        <v/>
      </c>
      <c r="AB102" t="str">
        <f>+IF(SUMIFS(Data_Long_Form!$D:$D,Data_Long_Form!$C:$C,Data_Pivot_Table!$V102,Data_Long_Form!$A:$A,Data_Pivot_Table!AB$4)=0,"",SUMIFS(Data_Long_Form!$D:$D,Data_Long_Form!$C:$C,Data_Pivot_Table!$V102,Data_Long_Form!$A:$A,Data_Pivot_Table!AB$4))</f>
        <v/>
      </c>
      <c r="AC102" t="str">
        <f>+IF(SUMIFS(Data_Long_Form!$D:$D,Data_Long_Form!$C:$C,Data_Pivot_Table!$V102,Data_Long_Form!$A:$A,Data_Pivot_Table!AC$4)=0,"",SUMIFS(Data_Long_Form!$D:$D,Data_Long_Form!$C:$C,Data_Pivot_Table!$V102,Data_Long_Form!$A:$A,Data_Pivot_Table!AC$4))</f>
        <v/>
      </c>
    </row>
    <row r="103" spans="1:29" x14ac:dyDescent="0.2">
      <c r="A103" s="5">
        <v>0.42560185185185184</v>
      </c>
      <c r="B103" s="4"/>
      <c r="C103" s="4">
        <v>1</v>
      </c>
      <c r="D103" s="4">
        <v>1</v>
      </c>
      <c r="E103" s="4"/>
      <c r="F103" s="4"/>
      <c r="G103" s="4">
        <v>1</v>
      </c>
      <c r="H103" s="4"/>
      <c r="I103" s="4">
        <v>3</v>
      </c>
      <c r="J103" s="4"/>
      <c r="K103">
        <v>0.42560185185185184</v>
      </c>
      <c r="M103">
        <v>1</v>
      </c>
      <c r="P103">
        <v>1</v>
      </c>
      <c r="Q103">
        <v>1</v>
      </c>
      <c r="S103">
        <v>3</v>
      </c>
      <c r="V103" s="8">
        <v>0.42560185185185184</v>
      </c>
      <c r="W103" t="str">
        <f>+IF(SUMIFS(Data_Long_Form!$D:$D,Data_Long_Form!$C:$C,Data_Pivot_Table!$V103,Data_Long_Form!$A:$A,Data_Pivot_Table!W$4)=0,"",SUMIFS(Data_Long_Form!$D:$D,Data_Long_Form!$C:$C,Data_Pivot_Table!$V103,Data_Long_Form!$A:$A,Data_Pivot_Table!W$4))</f>
        <v/>
      </c>
      <c r="X103">
        <f>+IF(SUMIFS(Data_Long_Form!$D:$D,Data_Long_Form!$C:$C,Data_Pivot_Table!$V103,Data_Long_Form!$A:$A,Data_Pivot_Table!X$4)=0,"",SUMIFS(Data_Long_Form!$D:$D,Data_Long_Form!$C:$C,Data_Pivot_Table!$V103,Data_Long_Form!$A:$A,Data_Pivot_Table!X$4))</f>
        <v>317.16018846038185</v>
      </c>
      <c r="Y103" t="str">
        <f>+IF(SUMIFS(Data_Long_Form!$D:$D,Data_Long_Form!$C:$C,Data_Pivot_Table!$V103,Data_Long_Form!$A:$A,Data_Pivot_Table!Y$4)=0,"",SUMIFS(Data_Long_Form!$D:$D,Data_Long_Form!$C:$C,Data_Pivot_Table!$V103,Data_Long_Form!$A:$A,Data_Pivot_Table!Y$4))</f>
        <v/>
      </c>
      <c r="Z103" t="str">
        <f>+IF(SUMIFS(Data_Long_Form!$D:$D,Data_Long_Form!$C:$C,Data_Pivot_Table!$V103,Data_Long_Form!$A:$A,Data_Pivot_Table!Z$4)=0,"",SUMIFS(Data_Long_Form!$D:$D,Data_Long_Form!$C:$C,Data_Pivot_Table!$V103,Data_Long_Form!$A:$A,Data_Pivot_Table!Z$4))</f>
        <v/>
      </c>
      <c r="AA103">
        <f>+IF(SUMIFS(Data_Long_Form!$D:$D,Data_Long_Form!$C:$C,Data_Pivot_Table!$V103,Data_Long_Form!$A:$A,Data_Pivot_Table!AA$4)=0,"",SUMIFS(Data_Long_Form!$D:$D,Data_Long_Form!$C:$C,Data_Pivot_Table!$V103,Data_Long_Form!$A:$A,Data_Pivot_Table!AA$4))</f>
        <v>358.37400425901217</v>
      </c>
      <c r="AB103">
        <f>+IF(SUMIFS(Data_Long_Form!$D:$D,Data_Long_Form!$C:$C,Data_Pivot_Table!$V103,Data_Long_Form!$A:$A,Data_Pivot_Table!AB$4)=0,"",SUMIFS(Data_Long_Form!$D:$D,Data_Long_Form!$C:$C,Data_Pivot_Table!$V103,Data_Long_Form!$A:$A,Data_Pivot_Table!AB$4))</f>
        <v>446.03605280388916</v>
      </c>
      <c r="AC103" t="str">
        <f>+IF(SUMIFS(Data_Long_Form!$D:$D,Data_Long_Form!$C:$C,Data_Pivot_Table!$V103,Data_Long_Form!$A:$A,Data_Pivot_Table!AC$4)=0,"",SUMIFS(Data_Long_Form!$D:$D,Data_Long_Form!$C:$C,Data_Pivot_Table!$V103,Data_Long_Form!$A:$A,Data_Pivot_Table!AC$4))</f>
        <v/>
      </c>
    </row>
    <row r="104" spans="1:29" x14ac:dyDescent="0.2">
      <c r="A104" s="5">
        <v>0.42561342592592594</v>
      </c>
      <c r="B104" s="4"/>
      <c r="C104" s="4"/>
      <c r="D104" s="4"/>
      <c r="E104" s="4"/>
      <c r="F104" s="4"/>
      <c r="G104" s="4">
        <v>1</v>
      </c>
      <c r="H104" s="4"/>
      <c r="I104" s="4">
        <v>1</v>
      </c>
      <c r="J104" s="4"/>
      <c r="K104">
        <v>0.42561342592592594</v>
      </c>
      <c r="M104">
        <v>1</v>
      </c>
      <c r="S104">
        <v>1</v>
      </c>
      <c r="V104" s="8">
        <v>0.42561342592592594</v>
      </c>
      <c r="W104" t="str">
        <f>+IF(SUMIFS(Data_Long_Form!$D:$D,Data_Long_Form!$C:$C,Data_Pivot_Table!$V104,Data_Long_Form!$A:$A,Data_Pivot_Table!W$4)=0,"",SUMIFS(Data_Long_Form!$D:$D,Data_Long_Form!$C:$C,Data_Pivot_Table!$V104,Data_Long_Form!$A:$A,Data_Pivot_Table!W$4))</f>
        <v/>
      </c>
      <c r="X104">
        <f>+IF(SUMIFS(Data_Long_Form!$D:$D,Data_Long_Form!$C:$C,Data_Pivot_Table!$V104,Data_Long_Form!$A:$A,Data_Pivot_Table!X$4)=0,"",SUMIFS(Data_Long_Form!$D:$D,Data_Long_Form!$C:$C,Data_Pivot_Table!$V104,Data_Long_Form!$A:$A,Data_Pivot_Table!X$4))</f>
        <v>318.57896432804529</v>
      </c>
      <c r="Y104" t="str">
        <f>+IF(SUMIFS(Data_Long_Form!$D:$D,Data_Long_Form!$C:$C,Data_Pivot_Table!$V104,Data_Long_Form!$A:$A,Data_Pivot_Table!Y$4)=0,"",SUMIFS(Data_Long_Form!$D:$D,Data_Long_Form!$C:$C,Data_Pivot_Table!$V104,Data_Long_Form!$A:$A,Data_Pivot_Table!Y$4))</f>
        <v/>
      </c>
      <c r="Z104" t="str">
        <f>+IF(SUMIFS(Data_Long_Form!$D:$D,Data_Long_Form!$C:$C,Data_Pivot_Table!$V104,Data_Long_Form!$A:$A,Data_Pivot_Table!Z$4)=0,"",SUMIFS(Data_Long_Form!$D:$D,Data_Long_Form!$C:$C,Data_Pivot_Table!$V104,Data_Long_Form!$A:$A,Data_Pivot_Table!Z$4))</f>
        <v/>
      </c>
      <c r="AA104" t="str">
        <f>+IF(SUMIFS(Data_Long_Form!$D:$D,Data_Long_Form!$C:$C,Data_Pivot_Table!$V104,Data_Long_Form!$A:$A,Data_Pivot_Table!AA$4)=0,"",SUMIFS(Data_Long_Form!$D:$D,Data_Long_Form!$C:$C,Data_Pivot_Table!$V104,Data_Long_Form!$A:$A,Data_Pivot_Table!AA$4))</f>
        <v/>
      </c>
      <c r="AB104" t="str">
        <f>+IF(SUMIFS(Data_Long_Form!$D:$D,Data_Long_Form!$C:$C,Data_Pivot_Table!$V104,Data_Long_Form!$A:$A,Data_Pivot_Table!AB$4)=0,"",SUMIFS(Data_Long_Form!$D:$D,Data_Long_Form!$C:$C,Data_Pivot_Table!$V104,Data_Long_Form!$A:$A,Data_Pivot_Table!AB$4))</f>
        <v/>
      </c>
      <c r="AC104" t="str">
        <f>+IF(SUMIFS(Data_Long_Form!$D:$D,Data_Long_Form!$C:$C,Data_Pivot_Table!$V104,Data_Long_Form!$A:$A,Data_Pivot_Table!AC$4)=0,"",SUMIFS(Data_Long_Form!$D:$D,Data_Long_Form!$C:$C,Data_Pivot_Table!$V104,Data_Long_Form!$A:$A,Data_Pivot_Table!AC$4))</f>
        <v/>
      </c>
    </row>
    <row r="105" spans="1:29" x14ac:dyDescent="0.2">
      <c r="A105" s="5">
        <v>0.4256597222222222</v>
      </c>
      <c r="B105" s="4"/>
      <c r="C105" s="4">
        <v>1</v>
      </c>
      <c r="D105" s="4"/>
      <c r="E105" s="4">
        <v>1</v>
      </c>
      <c r="F105" s="4">
        <v>1</v>
      </c>
      <c r="G105" s="4">
        <v>1</v>
      </c>
      <c r="H105" s="4"/>
      <c r="I105" s="4">
        <v>4</v>
      </c>
      <c r="J105" s="4"/>
      <c r="K105">
        <v>0.4256597222222222</v>
      </c>
      <c r="L105">
        <v>1</v>
      </c>
      <c r="M105">
        <v>1</v>
      </c>
      <c r="P105">
        <v>1</v>
      </c>
      <c r="R105">
        <v>1</v>
      </c>
      <c r="S105">
        <v>4</v>
      </c>
      <c r="V105" s="8">
        <v>0.4256597222222222</v>
      </c>
      <c r="W105">
        <f>+IF(SUMIFS(Data_Long_Form!$D:$D,Data_Long_Form!$C:$C,Data_Pivot_Table!$V105,Data_Long_Form!$A:$A,Data_Pivot_Table!W$4)=0,"",SUMIFS(Data_Long_Form!$D:$D,Data_Long_Form!$C:$C,Data_Pivot_Table!$V105,Data_Long_Form!$A:$A,Data_Pivot_Table!W$4))</f>
        <v>261.76339554020353</v>
      </c>
      <c r="X105">
        <f>+IF(SUMIFS(Data_Long_Form!$D:$D,Data_Long_Form!$C:$C,Data_Pivot_Table!$V105,Data_Long_Form!$A:$A,Data_Pivot_Table!X$4)=0,"",SUMIFS(Data_Long_Form!$D:$D,Data_Long_Form!$C:$C,Data_Pivot_Table!$V105,Data_Long_Form!$A:$A,Data_Pivot_Table!X$4))</f>
        <v>258.62550153057168</v>
      </c>
      <c r="Y105" t="str">
        <f>+IF(SUMIFS(Data_Long_Form!$D:$D,Data_Long_Form!$C:$C,Data_Pivot_Table!$V105,Data_Long_Form!$A:$A,Data_Pivot_Table!Y$4)=0,"",SUMIFS(Data_Long_Form!$D:$D,Data_Long_Form!$C:$C,Data_Pivot_Table!$V105,Data_Long_Form!$A:$A,Data_Pivot_Table!Y$4))</f>
        <v/>
      </c>
      <c r="Z105" t="str">
        <f>+IF(SUMIFS(Data_Long_Form!$D:$D,Data_Long_Form!$C:$C,Data_Pivot_Table!$V105,Data_Long_Form!$A:$A,Data_Pivot_Table!Z$4)=0,"",SUMIFS(Data_Long_Form!$D:$D,Data_Long_Form!$C:$C,Data_Pivot_Table!$V105,Data_Long_Form!$A:$A,Data_Pivot_Table!Z$4))</f>
        <v/>
      </c>
      <c r="AA105">
        <f>+IF(SUMIFS(Data_Long_Form!$D:$D,Data_Long_Form!$C:$C,Data_Pivot_Table!$V105,Data_Long_Form!$A:$A,Data_Pivot_Table!AA$4)=0,"",SUMIFS(Data_Long_Form!$D:$D,Data_Long_Form!$C:$C,Data_Pivot_Table!$V105,Data_Long_Form!$A:$A,Data_Pivot_Table!AA$4))</f>
        <v>316.26571048650919</v>
      </c>
      <c r="AB105" t="str">
        <f>+IF(SUMIFS(Data_Long_Form!$D:$D,Data_Long_Form!$C:$C,Data_Pivot_Table!$V105,Data_Long_Form!$A:$A,Data_Pivot_Table!AB$4)=0,"",SUMIFS(Data_Long_Form!$D:$D,Data_Long_Form!$C:$C,Data_Pivot_Table!$V105,Data_Long_Form!$A:$A,Data_Pivot_Table!AB$4))</f>
        <v/>
      </c>
      <c r="AC105">
        <f>+IF(SUMIFS(Data_Long_Form!$D:$D,Data_Long_Form!$C:$C,Data_Pivot_Table!$V105,Data_Long_Form!$A:$A,Data_Pivot_Table!AC$4)=0,"",SUMIFS(Data_Long_Form!$D:$D,Data_Long_Form!$C:$C,Data_Pivot_Table!$V105,Data_Long_Form!$A:$A,Data_Pivot_Table!AC$4))</f>
        <v>369.57851402625232</v>
      </c>
    </row>
    <row r="106" spans="1:29" x14ac:dyDescent="0.2">
      <c r="A106" s="5">
        <v>0.4256712962962963</v>
      </c>
      <c r="B106" s="4"/>
      <c r="C106" s="4"/>
      <c r="D106" s="4"/>
      <c r="E106" s="4"/>
      <c r="F106" s="4"/>
      <c r="G106" s="4">
        <v>1</v>
      </c>
      <c r="H106" s="4"/>
      <c r="I106" s="4">
        <v>1</v>
      </c>
      <c r="J106" s="4"/>
      <c r="K106">
        <v>0.4256712962962963</v>
      </c>
      <c r="M106">
        <v>1</v>
      </c>
      <c r="S106">
        <v>1</v>
      </c>
      <c r="V106" s="8">
        <v>0.4256712962962963</v>
      </c>
      <c r="W106" t="str">
        <f>+IF(SUMIFS(Data_Long_Form!$D:$D,Data_Long_Form!$C:$C,Data_Pivot_Table!$V106,Data_Long_Form!$A:$A,Data_Pivot_Table!W$4)=0,"",SUMIFS(Data_Long_Form!$D:$D,Data_Long_Form!$C:$C,Data_Pivot_Table!$V106,Data_Long_Form!$A:$A,Data_Pivot_Table!W$4))</f>
        <v/>
      </c>
      <c r="X106">
        <f>+IF(SUMIFS(Data_Long_Form!$D:$D,Data_Long_Form!$C:$C,Data_Pivot_Table!$V106,Data_Long_Form!$A:$A,Data_Pivot_Table!X$4)=0,"",SUMIFS(Data_Long_Form!$D:$D,Data_Long_Form!$C:$C,Data_Pivot_Table!$V106,Data_Long_Form!$A:$A,Data_Pivot_Table!X$4))</f>
        <v>246.40619099113246</v>
      </c>
      <c r="Y106" t="str">
        <f>+IF(SUMIFS(Data_Long_Form!$D:$D,Data_Long_Form!$C:$C,Data_Pivot_Table!$V106,Data_Long_Form!$A:$A,Data_Pivot_Table!Y$4)=0,"",SUMIFS(Data_Long_Form!$D:$D,Data_Long_Form!$C:$C,Data_Pivot_Table!$V106,Data_Long_Form!$A:$A,Data_Pivot_Table!Y$4))</f>
        <v/>
      </c>
      <c r="Z106" t="str">
        <f>+IF(SUMIFS(Data_Long_Form!$D:$D,Data_Long_Form!$C:$C,Data_Pivot_Table!$V106,Data_Long_Form!$A:$A,Data_Pivot_Table!Z$4)=0,"",SUMIFS(Data_Long_Form!$D:$D,Data_Long_Form!$C:$C,Data_Pivot_Table!$V106,Data_Long_Form!$A:$A,Data_Pivot_Table!Z$4))</f>
        <v/>
      </c>
      <c r="AA106" t="str">
        <f>+IF(SUMIFS(Data_Long_Form!$D:$D,Data_Long_Form!$C:$C,Data_Pivot_Table!$V106,Data_Long_Form!$A:$A,Data_Pivot_Table!AA$4)=0,"",SUMIFS(Data_Long_Form!$D:$D,Data_Long_Form!$C:$C,Data_Pivot_Table!$V106,Data_Long_Form!$A:$A,Data_Pivot_Table!AA$4))</f>
        <v/>
      </c>
      <c r="AB106" t="str">
        <f>+IF(SUMIFS(Data_Long_Form!$D:$D,Data_Long_Form!$C:$C,Data_Pivot_Table!$V106,Data_Long_Form!$A:$A,Data_Pivot_Table!AB$4)=0,"",SUMIFS(Data_Long_Form!$D:$D,Data_Long_Form!$C:$C,Data_Pivot_Table!$V106,Data_Long_Form!$A:$A,Data_Pivot_Table!AB$4))</f>
        <v/>
      </c>
      <c r="AC106" t="str">
        <f>+IF(SUMIFS(Data_Long_Form!$D:$D,Data_Long_Form!$C:$C,Data_Pivot_Table!$V106,Data_Long_Form!$A:$A,Data_Pivot_Table!AC$4)=0,"",SUMIFS(Data_Long_Form!$D:$D,Data_Long_Form!$C:$C,Data_Pivot_Table!$V106,Data_Long_Form!$A:$A,Data_Pivot_Table!AC$4))</f>
        <v/>
      </c>
    </row>
    <row r="107" spans="1:29" x14ac:dyDescent="0.2">
      <c r="A107" s="5">
        <v>0.42568287037037039</v>
      </c>
      <c r="B107" s="4"/>
      <c r="C107" s="4"/>
      <c r="D107" s="4"/>
      <c r="E107" s="4"/>
      <c r="F107" s="4">
        <v>1</v>
      </c>
      <c r="G107" s="4">
        <v>1</v>
      </c>
      <c r="H107" s="4"/>
      <c r="I107" s="4">
        <v>2</v>
      </c>
      <c r="J107" s="4"/>
      <c r="K107">
        <v>0.42568287037037039</v>
      </c>
      <c r="L107">
        <v>1</v>
      </c>
      <c r="M107">
        <v>1</v>
      </c>
      <c r="S107">
        <v>2</v>
      </c>
      <c r="V107" s="8">
        <v>0.42568287037037039</v>
      </c>
      <c r="W107">
        <f>+IF(SUMIFS(Data_Long_Form!$D:$D,Data_Long_Form!$C:$C,Data_Pivot_Table!$V107,Data_Long_Form!$A:$A,Data_Pivot_Table!W$4)=0,"",SUMIFS(Data_Long_Form!$D:$D,Data_Long_Form!$C:$C,Data_Pivot_Table!$V107,Data_Long_Form!$A:$A,Data_Pivot_Table!W$4))</f>
        <v>286.51753699464211</v>
      </c>
      <c r="X107">
        <f>+IF(SUMIFS(Data_Long_Form!$D:$D,Data_Long_Form!$C:$C,Data_Pivot_Table!$V107,Data_Long_Form!$A:$A,Data_Pivot_Table!X$4)=0,"",SUMIFS(Data_Long_Form!$D:$D,Data_Long_Form!$C:$C,Data_Pivot_Table!$V107,Data_Long_Form!$A:$A,Data_Pivot_Table!X$4))</f>
        <v>252.3434812188151</v>
      </c>
      <c r="Y107" t="str">
        <f>+IF(SUMIFS(Data_Long_Form!$D:$D,Data_Long_Form!$C:$C,Data_Pivot_Table!$V107,Data_Long_Form!$A:$A,Data_Pivot_Table!Y$4)=0,"",SUMIFS(Data_Long_Form!$D:$D,Data_Long_Form!$C:$C,Data_Pivot_Table!$V107,Data_Long_Form!$A:$A,Data_Pivot_Table!Y$4))</f>
        <v/>
      </c>
      <c r="Z107" t="str">
        <f>+IF(SUMIFS(Data_Long_Form!$D:$D,Data_Long_Form!$C:$C,Data_Pivot_Table!$V107,Data_Long_Form!$A:$A,Data_Pivot_Table!Z$4)=0,"",SUMIFS(Data_Long_Form!$D:$D,Data_Long_Form!$C:$C,Data_Pivot_Table!$V107,Data_Long_Form!$A:$A,Data_Pivot_Table!Z$4))</f>
        <v/>
      </c>
      <c r="AA107" t="str">
        <f>+IF(SUMIFS(Data_Long_Form!$D:$D,Data_Long_Form!$C:$C,Data_Pivot_Table!$V107,Data_Long_Form!$A:$A,Data_Pivot_Table!AA$4)=0,"",SUMIFS(Data_Long_Form!$D:$D,Data_Long_Form!$C:$C,Data_Pivot_Table!$V107,Data_Long_Form!$A:$A,Data_Pivot_Table!AA$4))</f>
        <v/>
      </c>
      <c r="AB107" t="str">
        <f>+IF(SUMIFS(Data_Long_Form!$D:$D,Data_Long_Form!$C:$C,Data_Pivot_Table!$V107,Data_Long_Form!$A:$A,Data_Pivot_Table!AB$4)=0,"",SUMIFS(Data_Long_Form!$D:$D,Data_Long_Form!$C:$C,Data_Pivot_Table!$V107,Data_Long_Form!$A:$A,Data_Pivot_Table!AB$4))</f>
        <v/>
      </c>
      <c r="AC107" t="str">
        <f>+IF(SUMIFS(Data_Long_Form!$D:$D,Data_Long_Form!$C:$C,Data_Pivot_Table!$V107,Data_Long_Form!$A:$A,Data_Pivot_Table!AC$4)=0,"",SUMIFS(Data_Long_Form!$D:$D,Data_Long_Form!$C:$C,Data_Pivot_Table!$V107,Data_Long_Form!$A:$A,Data_Pivot_Table!AC$4))</f>
        <v/>
      </c>
    </row>
    <row r="108" spans="1:29" x14ac:dyDescent="0.2">
      <c r="A108" s="5">
        <v>0.42570601851851853</v>
      </c>
      <c r="B108" s="4"/>
      <c r="C108" s="4"/>
      <c r="D108" s="4"/>
      <c r="E108" s="4">
        <v>1</v>
      </c>
      <c r="F108" s="4"/>
      <c r="G108" s="4">
        <v>1</v>
      </c>
      <c r="H108" s="4"/>
      <c r="I108" s="4">
        <v>2</v>
      </c>
      <c r="J108" s="4"/>
      <c r="K108">
        <v>0.42570601851851853</v>
      </c>
      <c r="M108">
        <v>1</v>
      </c>
      <c r="R108">
        <v>1</v>
      </c>
      <c r="S108">
        <v>2</v>
      </c>
      <c r="V108" s="8">
        <v>0.42570601851851853</v>
      </c>
      <c r="W108" t="str">
        <f>+IF(SUMIFS(Data_Long_Form!$D:$D,Data_Long_Form!$C:$C,Data_Pivot_Table!$V108,Data_Long_Form!$A:$A,Data_Pivot_Table!W$4)=0,"",SUMIFS(Data_Long_Form!$D:$D,Data_Long_Form!$C:$C,Data_Pivot_Table!$V108,Data_Long_Form!$A:$A,Data_Pivot_Table!W$4))</f>
        <v/>
      </c>
      <c r="X108">
        <f>+IF(SUMIFS(Data_Long_Form!$D:$D,Data_Long_Form!$C:$C,Data_Pivot_Table!$V108,Data_Long_Form!$A:$A,Data_Pivot_Table!X$4)=0,"",SUMIFS(Data_Long_Form!$D:$D,Data_Long_Form!$C:$C,Data_Pivot_Table!$V108,Data_Long_Form!$A:$A,Data_Pivot_Table!X$4))</f>
        <v>357.23719409771638</v>
      </c>
      <c r="Y108" t="str">
        <f>+IF(SUMIFS(Data_Long_Form!$D:$D,Data_Long_Form!$C:$C,Data_Pivot_Table!$V108,Data_Long_Form!$A:$A,Data_Pivot_Table!Y$4)=0,"",SUMIFS(Data_Long_Form!$D:$D,Data_Long_Form!$C:$C,Data_Pivot_Table!$V108,Data_Long_Form!$A:$A,Data_Pivot_Table!Y$4))</f>
        <v/>
      </c>
      <c r="Z108" t="str">
        <f>+IF(SUMIFS(Data_Long_Form!$D:$D,Data_Long_Form!$C:$C,Data_Pivot_Table!$V108,Data_Long_Form!$A:$A,Data_Pivot_Table!Z$4)=0,"",SUMIFS(Data_Long_Form!$D:$D,Data_Long_Form!$C:$C,Data_Pivot_Table!$V108,Data_Long_Form!$A:$A,Data_Pivot_Table!Z$4))</f>
        <v/>
      </c>
      <c r="AA108" t="str">
        <f>+IF(SUMIFS(Data_Long_Form!$D:$D,Data_Long_Form!$C:$C,Data_Pivot_Table!$V108,Data_Long_Form!$A:$A,Data_Pivot_Table!AA$4)=0,"",SUMIFS(Data_Long_Form!$D:$D,Data_Long_Form!$C:$C,Data_Pivot_Table!$V108,Data_Long_Form!$A:$A,Data_Pivot_Table!AA$4))</f>
        <v/>
      </c>
      <c r="AB108" t="str">
        <f>+IF(SUMIFS(Data_Long_Form!$D:$D,Data_Long_Form!$C:$C,Data_Pivot_Table!$V108,Data_Long_Form!$A:$A,Data_Pivot_Table!AB$4)=0,"",SUMIFS(Data_Long_Form!$D:$D,Data_Long_Form!$C:$C,Data_Pivot_Table!$V108,Data_Long_Form!$A:$A,Data_Pivot_Table!AB$4))</f>
        <v/>
      </c>
      <c r="AC108">
        <f>+IF(SUMIFS(Data_Long_Form!$D:$D,Data_Long_Form!$C:$C,Data_Pivot_Table!$V108,Data_Long_Form!$A:$A,Data_Pivot_Table!AC$4)=0,"",SUMIFS(Data_Long_Form!$D:$D,Data_Long_Form!$C:$C,Data_Pivot_Table!$V108,Data_Long_Form!$A:$A,Data_Pivot_Table!AC$4))</f>
        <v>419.96978848014675</v>
      </c>
    </row>
    <row r="109" spans="1:29" x14ac:dyDescent="0.2">
      <c r="A109" s="5">
        <v>0.42571759259259262</v>
      </c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7</v>
      </c>
      <c r="J109" s="4"/>
      <c r="K109">
        <v>0.42571759259259262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7</v>
      </c>
      <c r="V109" s="8">
        <v>0.42571759259259262</v>
      </c>
      <c r="W109">
        <f>+IF(SUMIFS(Data_Long_Form!$D:$D,Data_Long_Form!$C:$C,Data_Pivot_Table!$V109,Data_Long_Form!$A:$A,Data_Pivot_Table!W$4)=0,"",SUMIFS(Data_Long_Form!$D:$D,Data_Long_Form!$C:$C,Data_Pivot_Table!$V109,Data_Long_Form!$A:$A,Data_Pivot_Table!W$4))</f>
        <v>302.25850275833091</v>
      </c>
      <c r="X109">
        <f>+IF(SUMIFS(Data_Long_Form!$D:$D,Data_Long_Form!$C:$C,Data_Pivot_Table!$V109,Data_Long_Form!$A:$A,Data_Pivot_Table!X$4)=0,"",SUMIFS(Data_Long_Form!$D:$D,Data_Long_Form!$C:$C,Data_Pivot_Table!$V109,Data_Long_Form!$A:$A,Data_Pivot_Table!X$4))</f>
        <v>361.77044526082153</v>
      </c>
      <c r="Y109">
        <f>+IF(SUMIFS(Data_Long_Form!$D:$D,Data_Long_Form!$C:$C,Data_Pivot_Table!$V109,Data_Long_Form!$A:$A,Data_Pivot_Table!Y$4)=0,"",SUMIFS(Data_Long_Form!$D:$D,Data_Long_Form!$C:$C,Data_Pivot_Table!$V109,Data_Long_Form!$A:$A,Data_Pivot_Table!Y$4))</f>
        <v>185.40232692376279</v>
      </c>
      <c r="Z109">
        <f>+IF(SUMIFS(Data_Long_Form!$D:$D,Data_Long_Form!$C:$C,Data_Pivot_Table!$V109,Data_Long_Form!$A:$A,Data_Pivot_Table!Z$4)=0,"",SUMIFS(Data_Long_Form!$D:$D,Data_Long_Form!$C:$C,Data_Pivot_Table!$V109,Data_Long_Form!$A:$A,Data_Pivot_Table!Z$4))</f>
        <v>406.37243854636489</v>
      </c>
      <c r="AA109">
        <f>+IF(SUMIFS(Data_Long_Form!$D:$D,Data_Long_Form!$C:$C,Data_Pivot_Table!$V109,Data_Long_Form!$A:$A,Data_Pivot_Table!AA$4)=0,"",SUMIFS(Data_Long_Form!$D:$D,Data_Long_Form!$C:$C,Data_Pivot_Table!$V109,Data_Long_Form!$A:$A,Data_Pivot_Table!AA$4))</f>
        <v>334.50799257767653</v>
      </c>
      <c r="AB109">
        <f>+IF(SUMIFS(Data_Long_Form!$D:$D,Data_Long_Form!$C:$C,Data_Pivot_Table!$V109,Data_Long_Form!$A:$A,Data_Pivot_Table!AB$4)=0,"",SUMIFS(Data_Long_Form!$D:$D,Data_Long_Form!$C:$C,Data_Pivot_Table!$V109,Data_Long_Form!$A:$A,Data_Pivot_Table!AB$4))</f>
        <v>473.27282287883565</v>
      </c>
      <c r="AC109">
        <f>+IF(SUMIFS(Data_Long_Form!$D:$D,Data_Long_Form!$C:$C,Data_Pivot_Table!$V109,Data_Long_Form!$A:$A,Data_Pivot_Table!AC$4)=0,"",SUMIFS(Data_Long_Form!$D:$D,Data_Long_Form!$C:$C,Data_Pivot_Table!$V109,Data_Long_Form!$A:$A,Data_Pivot_Table!AC$4))</f>
        <v>464.76241023227016</v>
      </c>
    </row>
    <row r="110" spans="1:29" x14ac:dyDescent="0.2">
      <c r="A110" s="5">
        <v>0.42572916666666666</v>
      </c>
      <c r="B110" s="4">
        <v>1</v>
      </c>
      <c r="C110" s="4">
        <v>1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7</v>
      </c>
      <c r="J110" s="4"/>
      <c r="K110">
        <v>0.42572916666666666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7</v>
      </c>
      <c r="V110" s="8">
        <v>0.42572916666666666</v>
      </c>
      <c r="W110">
        <f>+IF(SUMIFS(Data_Long_Form!$D:$D,Data_Long_Form!$C:$C,Data_Pivot_Table!$V110,Data_Long_Form!$A:$A,Data_Pivot_Table!W$4)=0,"",SUMIFS(Data_Long_Form!$D:$D,Data_Long_Form!$C:$C,Data_Pivot_Table!$V110,Data_Long_Form!$A:$A,Data_Pivot_Table!W$4))</f>
        <v>300.50675525800915</v>
      </c>
      <c r="X110">
        <f>+IF(SUMIFS(Data_Long_Form!$D:$D,Data_Long_Form!$C:$C,Data_Pivot_Table!$V110,Data_Long_Form!$A:$A,Data_Pivot_Table!X$4)=0,"",SUMIFS(Data_Long_Form!$D:$D,Data_Long_Form!$C:$C,Data_Pivot_Table!$V110,Data_Long_Form!$A:$A,Data_Pivot_Table!X$4))</f>
        <v>359.35120657902809</v>
      </c>
      <c r="Y110">
        <f>+IF(SUMIFS(Data_Long_Form!$D:$D,Data_Long_Form!$C:$C,Data_Pivot_Table!$V110,Data_Long_Form!$A:$A,Data_Pivot_Table!Y$4)=0,"",SUMIFS(Data_Long_Form!$D:$D,Data_Long_Form!$C:$C,Data_Pivot_Table!$V110,Data_Long_Form!$A:$A,Data_Pivot_Table!Y$4))</f>
        <v>187.51482053989881</v>
      </c>
      <c r="Z110">
        <f>+IF(SUMIFS(Data_Long_Form!$D:$D,Data_Long_Form!$C:$C,Data_Pivot_Table!$V110,Data_Long_Form!$A:$A,Data_Pivot_Table!Z$4)=0,"",SUMIFS(Data_Long_Form!$D:$D,Data_Long_Form!$C:$C,Data_Pivot_Table!$V110,Data_Long_Form!$A:$A,Data_Pivot_Table!Z$4))</f>
        <v>401.87359771603997</v>
      </c>
      <c r="AA110">
        <f>+IF(SUMIFS(Data_Long_Form!$D:$D,Data_Long_Form!$C:$C,Data_Pivot_Table!$V110,Data_Long_Form!$A:$A,Data_Pivot_Table!AA$4)=0,"",SUMIFS(Data_Long_Form!$D:$D,Data_Long_Form!$C:$C,Data_Pivot_Table!$V110,Data_Long_Form!$A:$A,Data_Pivot_Table!AA$4))</f>
        <v>345.06983214988065</v>
      </c>
      <c r="AB110">
        <f>+IF(SUMIFS(Data_Long_Form!$D:$D,Data_Long_Form!$C:$C,Data_Pivot_Table!$V110,Data_Long_Form!$A:$A,Data_Pivot_Table!AB$4)=0,"",SUMIFS(Data_Long_Form!$D:$D,Data_Long_Form!$C:$C,Data_Pivot_Table!$V110,Data_Long_Form!$A:$A,Data_Pivot_Table!AB$4))</f>
        <v>480.99661998040511</v>
      </c>
      <c r="AC110">
        <f>+IF(SUMIFS(Data_Long_Form!$D:$D,Data_Long_Form!$C:$C,Data_Pivot_Table!$V110,Data_Long_Form!$A:$A,Data_Pivot_Table!AC$4)=0,"",SUMIFS(Data_Long_Form!$D:$D,Data_Long_Form!$C:$C,Data_Pivot_Table!$V110,Data_Long_Form!$A:$A,Data_Pivot_Table!AC$4))</f>
        <v>425.10448380621995</v>
      </c>
    </row>
    <row r="111" spans="1:29" x14ac:dyDescent="0.2">
      <c r="A111" s="5">
        <v>0.42574074074074075</v>
      </c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7</v>
      </c>
      <c r="J111" s="4"/>
      <c r="K111">
        <v>0.42574074074074075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7</v>
      </c>
      <c r="V111" s="8">
        <v>0.42574074074074075</v>
      </c>
      <c r="W111">
        <f>+IF(SUMIFS(Data_Long_Form!$D:$D,Data_Long_Form!$C:$C,Data_Pivot_Table!$V111,Data_Long_Form!$A:$A,Data_Pivot_Table!W$4)=0,"",SUMIFS(Data_Long_Form!$D:$D,Data_Long_Form!$C:$C,Data_Pivot_Table!$V111,Data_Long_Form!$A:$A,Data_Pivot_Table!W$4))</f>
        <v>297.12529034845568</v>
      </c>
      <c r="X111">
        <f>+IF(SUMIFS(Data_Long_Form!$D:$D,Data_Long_Form!$C:$C,Data_Pivot_Table!$V111,Data_Long_Form!$A:$A,Data_Pivot_Table!X$4)=0,"",SUMIFS(Data_Long_Form!$D:$D,Data_Long_Form!$C:$C,Data_Pivot_Table!$V111,Data_Long_Form!$A:$A,Data_Pivot_Table!X$4))</f>
        <v>360.45241234903119</v>
      </c>
      <c r="Y111">
        <f>+IF(SUMIFS(Data_Long_Form!$D:$D,Data_Long_Form!$C:$C,Data_Pivot_Table!$V111,Data_Long_Form!$A:$A,Data_Pivot_Table!Y$4)=0,"",SUMIFS(Data_Long_Form!$D:$D,Data_Long_Form!$C:$C,Data_Pivot_Table!$V111,Data_Long_Form!$A:$A,Data_Pivot_Table!Y$4))</f>
        <v>183.05267472943231</v>
      </c>
      <c r="Z111">
        <f>+IF(SUMIFS(Data_Long_Form!$D:$D,Data_Long_Form!$C:$C,Data_Pivot_Table!$V111,Data_Long_Form!$A:$A,Data_Pivot_Table!Z$4)=0,"",SUMIFS(Data_Long_Form!$D:$D,Data_Long_Form!$C:$C,Data_Pivot_Table!$V111,Data_Long_Form!$A:$A,Data_Pivot_Table!Z$4))</f>
        <v>395.76666515519952</v>
      </c>
      <c r="AA111">
        <f>+IF(SUMIFS(Data_Long_Form!$D:$D,Data_Long_Form!$C:$C,Data_Pivot_Table!$V111,Data_Long_Form!$A:$A,Data_Pivot_Table!AA$4)=0,"",SUMIFS(Data_Long_Form!$D:$D,Data_Long_Form!$C:$C,Data_Pivot_Table!$V111,Data_Long_Form!$A:$A,Data_Pivot_Table!AA$4))</f>
        <v>338.41029892820757</v>
      </c>
      <c r="AB111">
        <f>+IF(SUMIFS(Data_Long_Form!$D:$D,Data_Long_Form!$C:$C,Data_Pivot_Table!$V111,Data_Long_Form!$A:$A,Data_Pivot_Table!AB$4)=0,"",SUMIFS(Data_Long_Form!$D:$D,Data_Long_Form!$C:$C,Data_Pivot_Table!$V111,Data_Long_Form!$A:$A,Data_Pivot_Table!AB$4))</f>
        <v>480.39215469935351</v>
      </c>
      <c r="AC111">
        <f>+IF(SUMIFS(Data_Long_Form!$D:$D,Data_Long_Form!$C:$C,Data_Pivot_Table!$V111,Data_Long_Form!$A:$A,Data_Pivot_Table!AC$4)=0,"",SUMIFS(Data_Long_Form!$D:$D,Data_Long_Form!$C:$C,Data_Pivot_Table!$V111,Data_Long_Form!$A:$A,Data_Pivot_Table!AC$4))</f>
        <v>430.83847162838759</v>
      </c>
    </row>
    <row r="112" spans="1:29" x14ac:dyDescent="0.2">
      <c r="A112" s="5">
        <v>0.42984953703703704</v>
      </c>
      <c r="B112" s="4">
        <v>1</v>
      </c>
      <c r="C112" s="4">
        <v>1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7</v>
      </c>
      <c r="J112" s="4"/>
      <c r="K112">
        <v>0.42984953703703704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7</v>
      </c>
      <c r="V112" s="8">
        <v>0.42984953703703704</v>
      </c>
      <c r="W112">
        <f>+IF(SUMIFS(Data_Long_Form!$D:$D,Data_Long_Form!$C:$C,Data_Pivot_Table!$V112,Data_Long_Form!$A:$A,Data_Pivot_Table!W$4)=0,"",SUMIFS(Data_Long_Form!$D:$D,Data_Long_Form!$C:$C,Data_Pivot_Table!$V112,Data_Long_Form!$A:$A,Data_Pivot_Table!W$4))</f>
        <v>259.47595818250977</v>
      </c>
      <c r="X112">
        <f>+IF(SUMIFS(Data_Long_Form!$D:$D,Data_Long_Form!$C:$C,Data_Pivot_Table!$V112,Data_Long_Form!$A:$A,Data_Pivot_Table!X$4)=0,"",SUMIFS(Data_Long_Form!$D:$D,Data_Long_Form!$C:$C,Data_Pivot_Table!$V112,Data_Long_Form!$A:$A,Data_Pivot_Table!X$4))</f>
        <v>297.60356152038361</v>
      </c>
      <c r="Y112">
        <f>+IF(SUMIFS(Data_Long_Form!$D:$D,Data_Long_Form!$C:$C,Data_Pivot_Table!$V112,Data_Long_Form!$A:$A,Data_Pivot_Table!Y$4)=0,"",SUMIFS(Data_Long_Form!$D:$D,Data_Long_Form!$C:$C,Data_Pivot_Table!$V112,Data_Long_Form!$A:$A,Data_Pivot_Table!Y$4))</f>
        <v>152.54688508042318</v>
      </c>
      <c r="Z112">
        <f>+IF(SUMIFS(Data_Long_Form!$D:$D,Data_Long_Form!$C:$C,Data_Pivot_Table!$V112,Data_Long_Form!$A:$A,Data_Pivot_Table!Z$4)=0,"",SUMIFS(Data_Long_Form!$D:$D,Data_Long_Form!$C:$C,Data_Pivot_Table!$V112,Data_Long_Form!$A:$A,Data_Pivot_Table!Z$4))</f>
        <v>286.96304675614778</v>
      </c>
      <c r="AA112">
        <f>+IF(SUMIFS(Data_Long_Form!$D:$D,Data_Long_Form!$C:$C,Data_Pivot_Table!$V112,Data_Long_Form!$A:$A,Data_Pivot_Table!AA$4)=0,"",SUMIFS(Data_Long_Form!$D:$D,Data_Long_Form!$C:$C,Data_Pivot_Table!$V112,Data_Long_Form!$A:$A,Data_Pivot_Table!AA$4))</f>
        <v>285.82856917593898</v>
      </c>
      <c r="AB112">
        <f>+IF(SUMIFS(Data_Long_Form!$D:$D,Data_Long_Form!$C:$C,Data_Pivot_Table!$V112,Data_Long_Form!$A:$A,Data_Pivot_Table!AB$4)=0,"",SUMIFS(Data_Long_Form!$D:$D,Data_Long_Form!$C:$C,Data_Pivot_Table!$V112,Data_Long_Form!$A:$A,Data_Pivot_Table!AB$4))</f>
        <v>430.42316864512441</v>
      </c>
      <c r="AC112">
        <f>+IF(SUMIFS(Data_Long_Form!$D:$D,Data_Long_Form!$C:$C,Data_Pivot_Table!$V112,Data_Long_Form!$A:$A,Data_Pivot_Table!AC$4)=0,"",SUMIFS(Data_Long_Form!$D:$D,Data_Long_Form!$C:$C,Data_Pivot_Table!$V112,Data_Long_Form!$A:$A,Data_Pivot_Table!AC$4))</f>
        <v>413.29584468045425</v>
      </c>
    </row>
    <row r="113" spans="1:29" x14ac:dyDescent="0.2">
      <c r="A113" s="5">
        <v>0.42986111111111114</v>
      </c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7</v>
      </c>
      <c r="J113" s="4"/>
      <c r="K113">
        <v>0.42986111111111114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7</v>
      </c>
      <c r="V113" s="8">
        <v>0.42986111111111114</v>
      </c>
      <c r="W113">
        <f>+IF(SUMIFS(Data_Long_Form!$D:$D,Data_Long_Form!$C:$C,Data_Pivot_Table!$V113,Data_Long_Form!$A:$A,Data_Pivot_Table!W$4)=0,"",SUMIFS(Data_Long_Form!$D:$D,Data_Long_Form!$C:$C,Data_Pivot_Table!$V113,Data_Long_Form!$A:$A,Data_Pivot_Table!W$4))</f>
        <v>254.70796336133296</v>
      </c>
      <c r="X113">
        <f>+IF(SUMIFS(Data_Long_Form!$D:$D,Data_Long_Form!$C:$C,Data_Pivot_Table!$V113,Data_Long_Form!$A:$A,Data_Pivot_Table!X$4)=0,"",SUMIFS(Data_Long_Form!$D:$D,Data_Long_Form!$C:$C,Data_Pivot_Table!$V113,Data_Long_Form!$A:$A,Data_Pivot_Table!X$4))</f>
        <v>290.26836467924983</v>
      </c>
      <c r="Y113">
        <f>+IF(SUMIFS(Data_Long_Form!$D:$D,Data_Long_Form!$C:$C,Data_Pivot_Table!$V113,Data_Long_Form!$A:$A,Data_Pivot_Table!Y$4)=0,"",SUMIFS(Data_Long_Form!$D:$D,Data_Long_Form!$C:$C,Data_Pivot_Table!$V113,Data_Long_Form!$A:$A,Data_Pivot_Table!Y$4))</f>
        <v>150.18747052368661</v>
      </c>
      <c r="Z113">
        <f>+IF(SUMIFS(Data_Long_Form!$D:$D,Data_Long_Form!$C:$C,Data_Pivot_Table!$V113,Data_Long_Form!$A:$A,Data_Pivot_Table!Z$4)=0,"",SUMIFS(Data_Long_Form!$D:$D,Data_Long_Form!$C:$C,Data_Pivot_Table!$V113,Data_Long_Form!$A:$A,Data_Pivot_Table!Z$4))</f>
        <v>280.55236501671197</v>
      </c>
      <c r="AA113">
        <f>+IF(SUMIFS(Data_Long_Form!$D:$D,Data_Long_Form!$C:$C,Data_Pivot_Table!$V113,Data_Long_Form!$A:$A,Data_Pivot_Table!AA$4)=0,"",SUMIFS(Data_Long_Form!$D:$D,Data_Long_Form!$C:$C,Data_Pivot_Table!$V113,Data_Long_Form!$A:$A,Data_Pivot_Table!AA$4))</f>
        <v>284.39253397888103</v>
      </c>
      <c r="AB113">
        <f>+IF(SUMIFS(Data_Long_Form!$D:$D,Data_Long_Form!$C:$C,Data_Pivot_Table!$V113,Data_Long_Form!$A:$A,Data_Pivot_Table!AB$4)=0,"",SUMIFS(Data_Long_Form!$D:$D,Data_Long_Form!$C:$C,Data_Pivot_Table!$V113,Data_Long_Form!$A:$A,Data_Pivot_Table!AB$4))</f>
        <v>418.78835690574516</v>
      </c>
      <c r="AC113">
        <f>+IF(SUMIFS(Data_Long_Form!$D:$D,Data_Long_Form!$C:$C,Data_Pivot_Table!$V113,Data_Long_Form!$A:$A,Data_Pivot_Table!AC$4)=0,"",SUMIFS(Data_Long_Form!$D:$D,Data_Long_Form!$C:$C,Data_Pivot_Table!$V113,Data_Long_Form!$A:$A,Data_Pivot_Table!AC$4))</f>
        <v>403.35872578360596</v>
      </c>
    </row>
    <row r="114" spans="1:29" x14ac:dyDescent="0.2">
      <c r="A114" s="5">
        <v>0.42987268518518518</v>
      </c>
      <c r="B114" s="4">
        <v>1</v>
      </c>
      <c r="C114" s="4">
        <v>1</v>
      </c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>
        <v>7</v>
      </c>
      <c r="J114" s="4"/>
      <c r="K114">
        <v>0.42987268518518518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7</v>
      </c>
      <c r="V114" s="8">
        <v>0.42987268518518518</v>
      </c>
      <c r="W114">
        <f>+IF(SUMIFS(Data_Long_Form!$D:$D,Data_Long_Form!$C:$C,Data_Pivot_Table!$V114,Data_Long_Form!$A:$A,Data_Pivot_Table!W$4)=0,"",SUMIFS(Data_Long_Form!$D:$D,Data_Long_Form!$C:$C,Data_Pivot_Table!$V114,Data_Long_Form!$A:$A,Data_Pivot_Table!W$4))</f>
        <v>253.01283209425694</v>
      </c>
      <c r="X114">
        <f>+IF(SUMIFS(Data_Long_Form!$D:$D,Data_Long_Form!$C:$C,Data_Pivot_Table!$V114,Data_Long_Form!$A:$A,Data_Pivot_Table!X$4)=0,"",SUMIFS(Data_Long_Form!$D:$D,Data_Long_Form!$C:$C,Data_Pivot_Table!$V114,Data_Long_Form!$A:$A,Data_Pivot_Table!X$4))</f>
        <v>289.12997014231621</v>
      </c>
      <c r="Y114">
        <f>+IF(SUMIFS(Data_Long_Form!$D:$D,Data_Long_Form!$C:$C,Data_Pivot_Table!$V114,Data_Long_Form!$A:$A,Data_Pivot_Table!Y$4)=0,"",SUMIFS(Data_Long_Form!$D:$D,Data_Long_Form!$C:$C,Data_Pivot_Table!$V114,Data_Long_Form!$A:$A,Data_Pivot_Table!Y$4))</f>
        <v>151.08835580092421</v>
      </c>
      <c r="Z114">
        <f>+IF(SUMIFS(Data_Long_Form!$D:$D,Data_Long_Form!$C:$C,Data_Pivot_Table!$V114,Data_Long_Form!$A:$A,Data_Pivot_Table!Z$4)=0,"",SUMIFS(Data_Long_Form!$D:$D,Data_Long_Form!$C:$C,Data_Pivot_Table!$V114,Data_Long_Form!$A:$A,Data_Pivot_Table!Z$4))</f>
        <v>291.35395992073433</v>
      </c>
      <c r="AA114">
        <f>+IF(SUMIFS(Data_Long_Form!$D:$D,Data_Long_Form!$C:$C,Data_Pivot_Table!$V114,Data_Long_Form!$A:$A,Data_Pivot_Table!AA$4)=0,"",SUMIFS(Data_Long_Form!$D:$D,Data_Long_Form!$C:$C,Data_Pivot_Table!$V114,Data_Long_Form!$A:$A,Data_Pivot_Table!AA$4))</f>
        <v>284.41632558814774</v>
      </c>
      <c r="AB114">
        <f>+IF(SUMIFS(Data_Long_Form!$D:$D,Data_Long_Form!$C:$C,Data_Pivot_Table!$V114,Data_Long_Form!$A:$A,Data_Pivot_Table!AB$4)=0,"",SUMIFS(Data_Long_Form!$D:$D,Data_Long_Form!$C:$C,Data_Pivot_Table!$V114,Data_Long_Form!$A:$A,Data_Pivot_Table!AB$4))</f>
        <v>441.23300233389739</v>
      </c>
      <c r="AC114">
        <f>+IF(SUMIFS(Data_Long_Form!$D:$D,Data_Long_Form!$C:$C,Data_Pivot_Table!$V114,Data_Long_Form!$A:$A,Data_Pivot_Table!AC$4)=0,"",SUMIFS(Data_Long_Form!$D:$D,Data_Long_Form!$C:$C,Data_Pivot_Table!$V114,Data_Long_Form!$A:$A,Data_Pivot_Table!AC$4))</f>
        <v>397.3725692266234</v>
      </c>
    </row>
    <row r="115" spans="1:29" x14ac:dyDescent="0.2">
      <c r="A115" s="5">
        <v>0.42988425925925927</v>
      </c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7</v>
      </c>
      <c r="J115" s="4"/>
      <c r="K115">
        <v>0.42988425925925927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7</v>
      </c>
      <c r="V115" s="8">
        <v>0.42988425925925927</v>
      </c>
      <c r="W115">
        <f>+IF(SUMIFS(Data_Long_Form!$D:$D,Data_Long_Form!$C:$C,Data_Pivot_Table!$V115,Data_Long_Form!$A:$A,Data_Pivot_Table!W$4)=0,"",SUMIFS(Data_Long_Form!$D:$D,Data_Long_Form!$C:$C,Data_Pivot_Table!$V115,Data_Long_Form!$A:$A,Data_Pivot_Table!W$4))</f>
        <v>253.89064451150907</v>
      </c>
      <c r="X115">
        <f>+IF(SUMIFS(Data_Long_Form!$D:$D,Data_Long_Form!$C:$C,Data_Pivot_Table!$V115,Data_Long_Form!$A:$A,Data_Pivot_Table!X$4)=0,"",SUMIFS(Data_Long_Form!$D:$D,Data_Long_Form!$C:$C,Data_Pivot_Table!$V115,Data_Long_Form!$A:$A,Data_Pivot_Table!X$4))</f>
        <v>288.40244538040145</v>
      </c>
      <c r="Y115">
        <f>+IF(SUMIFS(Data_Long_Form!$D:$D,Data_Long_Form!$C:$C,Data_Pivot_Table!$V115,Data_Long_Form!$A:$A,Data_Pivot_Table!Y$4)=0,"",SUMIFS(Data_Long_Form!$D:$D,Data_Long_Form!$C:$C,Data_Pivot_Table!$V115,Data_Long_Form!$A:$A,Data_Pivot_Table!Y$4))</f>
        <v>148.17513729074153</v>
      </c>
      <c r="Z115">
        <f>+IF(SUMIFS(Data_Long_Form!$D:$D,Data_Long_Form!$C:$C,Data_Pivot_Table!$V115,Data_Long_Form!$A:$A,Data_Pivot_Table!Z$4)=0,"",SUMIFS(Data_Long_Form!$D:$D,Data_Long_Form!$C:$C,Data_Pivot_Table!$V115,Data_Long_Form!$A:$A,Data_Pivot_Table!Z$4))</f>
        <v>290.13361695376739</v>
      </c>
      <c r="AA115">
        <f>+IF(SUMIFS(Data_Long_Form!$D:$D,Data_Long_Form!$C:$C,Data_Pivot_Table!$V115,Data_Long_Form!$A:$A,Data_Pivot_Table!AA$4)=0,"",SUMIFS(Data_Long_Form!$D:$D,Data_Long_Form!$C:$C,Data_Pivot_Table!$V115,Data_Long_Form!$A:$A,Data_Pivot_Table!AA$4))</f>
        <v>285.21601842529566</v>
      </c>
      <c r="AB115">
        <f>+IF(SUMIFS(Data_Long_Form!$D:$D,Data_Long_Form!$C:$C,Data_Pivot_Table!$V115,Data_Long_Form!$A:$A,Data_Pivot_Table!AB$4)=0,"",SUMIFS(Data_Long_Form!$D:$D,Data_Long_Form!$C:$C,Data_Pivot_Table!$V115,Data_Long_Form!$A:$A,Data_Pivot_Table!AB$4))</f>
        <v>435.15033339859104</v>
      </c>
      <c r="AC115">
        <f>+IF(SUMIFS(Data_Long_Form!$D:$D,Data_Long_Form!$C:$C,Data_Pivot_Table!$V115,Data_Long_Form!$A:$A,Data_Pivot_Table!AC$4)=0,"",SUMIFS(Data_Long_Form!$D:$D,Data_Long_Form!$C:$C,Data_Pivot_Table!$V115,Data_Long_Form!$A:$A,Data_Pivot_Table!AC$4))</f>
        <v>395.99180136271218</v>
      </c>
    </row>
    <row r="116" spans="1:29" x14ac:dyDescent="0.2">
      <c r="A116" s="5">
        <v>0.42989583333333331</v>
      </c>
      <c r="B116" s="4">
        <v>1</v>
      </c>
      <c r="C116" s="4">
        <v>1</v>
      </c>
      <c r="D116" s="4">
        <v>1</v>
      </c>
      <c r="E116" s="4">
        <v>1</v>
      </c>
      <c r="F116" s="4">
        <v>1</v>
      </c>
      <c r="G116" s="4">
        <v>1</v>
      </c>
      <c r="H116" s="4">
        <v>1</v>
      </c>
      <c r="I116" s="4">
        <v>7</v>
      </c>
      <c r="J116" s="4"/>
      <c r="K116">
        <v>0.42989583333333331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7</v>
      </c>
      <c r="V116" s="8">
        <v>0.42989583333333331</v>
      </c>
      <c r="W116">
        <f>+IF(SUMIFS(Data_Long_Form!$D:$D,Data_Long_Form!$C:$C,Data_Pivot_Table!$V116,Data_Long_Form!$A:$A,Data_Pivot_Table!W$4)=0,"",SUMIFS(Data_Long_Form!$D:$D,Data_Long_Form!$C:$C,Data_Pivot_Table!$V116,Data_Long_Form!$A:$A,Data_Pivot_Table!W$4))</f>
        <v>257.251899753967</v>
      </c>
      <c r="X116">
        <f>+IF(SUMIFS(Data_Long_Form!$D:$D,Data_Long_Form!$C:$C,Data_Pivot_Table!$V116,Data_Long_Form!$A:$A,Data_Pivot_Table!X$4)=0,"",SUMIFS(Data_Long_Form!$D:$D,Data_Long_Form!$C:$C,Data_Pivot_Table!$V116,Data_Long_Form!$A:$A,Data_Pivot_Table!X$4))</f>
        <v>281.52899427830317</v>
      </c>
      <c r="Y116">
        <f>+IF(SUMIFS(Data_Long_Form!$D:$D,Data_Long_Form!$C:$C,Data_Pivot_Table!$V116,Data_Long_Form!$A:$A,Data_Pivot_Table!Y$4)=0,"",SUMIFS(Data_Long_Form!$D:$D,Data_Long_Form!$C:$C,Data_Pivot_Table!$V116,Data_Long_Form!$A:$A,Data_Pivot_Table!Y$4))</f>
        <v>145.74766281194792</v>
      </c>
      <c r="Z116">
        <f>+IF(SUMIFS(Data_Long_Form!$D:$D,Data_Long_Form!$C:$C,Data_Pivot_Table!$V116,Data_Long_Form!$A:$A,Data_Pivot_Table!Z$4)=0,"",SUMIFS(Data_Long_Form!$D:$D,Data_Long_Form!$C:$C,Data_Pivot_Table!$V116,Data_Long_Form!$A:$A,Data_Pivot_Table!Z$4))</f>
        <v>281.73722870119366</v>
      </c>
      <c r="AA116">
        <f>+IF(SUMIFS(Data_Long_Form!$D:$D,Data_Long_Form!$C:$C,Data_Pivot_Table!$V116,Data_Long_Form!$A:$A,Data_Pivot_Table!AA$4)=0,"",SUMIFS(Data_Long_Form!$D:$D,Data_Long_Form!$C:$C,Data_Pivot_Table!$V116,Data_Long_Form!$A:$A,Data_Pivot_Table!AA$4))</f>
        <v>287.5965969178543</v>
      </c>
      <c r="AB116">
        <f>+IF(SUMIFS(Data_Long_Form!$D:$D,Data_Long_Form!$C:$C,Data_Pivot_Table!$V116,Data_Long_Form!$A:$A,Data_Pivot_Table!AB$4)=0,"",SUMIFS(Data_Long_Form!$D:$D,Data_Long_Form!$C:$C,Data_Pivot_Table!$V116,Data_Long_Form!$A:$A,Data_Pivot_Table!AB$4))</f>
        <v>426.22276330979651</v>
      </c>
      <c r="AC116">
        <f>+IF(SUMIFS(Data_Long_Form!$D:$D,Data_Long_Form!$C:$C,Data_Pivot_Table!$V116,Data_Long_Form!$A:$A,Data_Pivot_Table!AC$4)=0,"",SUMIFS(Data_Long_Form!$D:$D,Data_Long_Form!$C:$C,Data_Pivot_Table!$V116,Data_Long_Form!$A:$A,Data_Pivot_Table!AC$4))</f>
        <v>399.19135457173718</v>
      </c>
    </row>
    <row r="117" spans="1:29" x14ac:dyDescent="0.2">
      <c r="A117" s="5">
        <v>0.4299074074074074</v>
      </c>
      <c r="B117" s="4">
        <v>1</v>
      </c>
      <c r="C117" s="4">
        <v>1</v>
      </c>
      <c r="D117" s="4"/>
      <c r="E117" s="4">
        <v>1</v>
      </c>
      <c r="F117" s="4">
        <v>1</v>
      </c>
      <c r="G117" s="4">
        <v>1</v>
      </c>
      <c r="H117" s="4">
        <v>1</v>
      </c>
      <c r="I117" s="4">
        <v>6</v>
      </c>
      <c r="J117" s="4"/>
      <c r="K117">
        <v>0.4299074074074074</v>
      </c>
      <c r="L117">
        <v>1</v>
      </c>
      <c r="M117">
        <v>1</v>
      </c>
      <c r="N117">
        <v>1</v>
      </c>
      <c r="O117">
        <v>1</v>
      </c>
      <c r="P117">
        <v>1</v>
      </c>
      <c r="R117">
        <v>1</v>
      </c>
      <c r="S117">
        <v>6</v>
      </c>
      <c r="V117" s="8">
        <v>0.4299074074074074</v>
      </c>
      <c r="W117">
        <f>+IF(SUMIFS(Data_Long_Form!$D:$D,Data_Long_Form!$C:$C,Data_Pivot_Table!$V117,Data_Long_Form!$A:$A,Data_Pivot_Table!W$4)=0,"",SUMIFS(Data_Long_Form!$D:$D,Data_Long_Form!$C:$C,Data_Pivot_Table!$V117,Data_Long_Form!$A:$A,Data_Pivot_Table!W$4))</f>
        <v>253.54812463349458</v>
      </c>
      <c r="X117">
        <f>+IF(SUMIFS(Data_Long_Form!$D:$D,Data_Long_Form!$C:$C,Data_Pivot_Table!$V117,Data_Long_Form!$A:$A,Data_Pivot_Table!X$4)=0,"",SUMIFS(Data_Long_Form!$D:$D,Data_Long_Form!$C:$C,Data_Pivot_Table!$V117,Data_Long_Form!$A:$A,Data_Pivot_Table!X$4))</f>
        <v>272.55119831873185</v>
      </c>
      <c r="Y117">
        <f>+IF(SUMIFS(Data_Long_Form!$D:$D,Data_Long_Form!$C:$C,Data_Pivot_Table!$V117,Data_Long_Form!$A:$A,Data_Pivot_Table!Y$4)=0,"",SUMIFS(Data_Long_Form!$D:$D,Data_Long_Form!$C:$C,Data_Pivot_Table!$V117,Data_Long_Form!$A:$A,Data_Pivot_Table!Y$4))</f>
        <v>144.24829165638559</v>
      </c>
      <c r="Z117">
        <f>+IF(SUMIFS(Data_Long_Form!$D:$D,Data_Long_Form!$C:$C,Data_Pivot_Table!$V117,Data_Long_Form!$A:$A,Data_Pivot_Table!Z$4)=0,"",SUMIFS(Data_Long_Form!$D:$D,Data_Long_Form!$C:$C,Data_Pivot_Table!$V117,Data_Long_Form!$A:$A,Data_Pivot_Table!Z$4))</f>
        <v>277.99508701373895</v>
      </c>
      <c r="AA117">
        <f>+IF(SUMIFS(Data_Long_Form!$D:$D,Data_Long_Form!$C:$C,Data_Pivot_Table!$V117,Data_Long_Form!$A:$A,Data_Pivot_Table!AA$4)=0,"",SUMIFS(Data_Long_Form!$D:$D,Data_Long_Form!$C:$C,Data_Pivot_Table!$V117,Data_Long_Form!$A:$A,Data_Pivot_Table!AA$4))</f>
        <v>276.68221186886871</v>
      </c>
      <c r="AB117" t="str">
        <f>+IF(SUMIFS(Data_Long_Form!$D:$D,Data_Long_Form!$C:$C,Data_Pivot_Table!$V117,Data_Long_Form!$A:$A,Data_Pivot_Table!AB$4)=0,"",SUMIFS(Data_Long_Form!$D:$D,Data_Long_Form!$C:$C,Data_Pivot_Table!$V117,Data_Long_Form!$A:$A,Data_Pivot_Table!AB$4))</f>
        <v/>
      </c>
      <c r="AC117">
        <f>+IF(SUMIFS(Data_Long_Form!$D:$D,Data_Long_Form!$C:$C,Data_Pivot_Table!$V117,Data_Long_Form!$A:$A,Data_Pivot_Table!AC$4)=0,"",SUMIFS(Data_Long_Form!$D:$D,Data_Long_Form!$C:$C,Data_Pivot_Table!$V117,Data_Long_Form!$A:$A,Data_Pivot_Table!AC$4))</f>
        <v>401.14785740436537</v>
      </c>
    </row>
    <row r="118" spans="1:29" x14ac:dyDescent="0.2">
      <c r="A118" s="5">
        <v>0.4299189814814815</v>
      </c>
      <c r="B118" s="4">
        <v>1</v>
      </c>
      <c r="C118" s="4">
        <v>1</v>
      </c>
      <c r="D118" s="4"/>
      <c r="E118" s="4">
        <v>1</v>
      </c>
      <c r="F118" s="4">
        <v>1</v>
      </c>
      <c r="G118" s="4">
        <v>1</v>
      </c>
      <c r="H118" s="4">
        <v>1</v>
      </c>
      <c r="I118" s="4">
        <v>6</v>
      </c>
      <c r="J118" s="4"/>
      <c r="K118">
        <v>0.4299189814814815</v>
      </c>
      <c r="L118">
        <v>1</v>
      </c>
      <c r="M118">
        <v>1</v>
      </c>
      <c r="N118">
        <v>1</v>
      </c>
      <c r="O118">
        <v>1</v>
      </c>
      <c r="P118">
        <v>1</v>
      </c>
      <c r="R118">
        <v>1</v>
      </c>
      <c r="S118">
        <v>6</v>
      </c>
      <c r="V118" s="8">
        <v>0.4299189814814815</v>
      </c>
      <c r="W118">
        <f>+IF(SUMIFS(Data_Long_Form!$D:$D,Data_Long_Form!$C:$C,Data_Pivot_Table!$V118,Data_Long_Form!$A:$A,Data_Pivot_Table!W$4)=0,"",SUMIFS(Data_Long_Form!$D:$D,Data_Long_Form!$C:$C,Data_Pivot_Table!$V118,Data_Long_Form!$A:$A,Data_Pivot_Table!W$4))</f>
        <v>244.47028429674936</v>
      </c>
      <c r="X118">
        <f>+IF(SUMIFS(Data_Long_Form!$D:$D,Data_Long_Form!$C:$C,Data_Pivot_Table!$V118,Data_Long_Form!$A:$A,Data_Pivot_Table!X$4)=0,"",SUMIFS(Data_Long_Form!$D:$D,Data_Long_Form!$C:$C,Data_Pivot_Table!$V118,Data_Long_Form!$A:$A,Data_Pivot_Table!X$4))</f>
        <v>278.76039475011214</v>
      </c>
      <c r="Y118">
        <f>+IF(SUMIFS(Data_Long_Form!$D:$D,Data_Long_Form!$C:$C,Data_Pivot_Table!$V118,Data_Long_Form!$A:$A,Data_Pivot_Table!Y$4)=0,"",SUMIFS(Data_Long_Form!$D:$D,Data_Long_Form!$C:$C,Data_Pivot_Table!$V118,Data_Long_Form!$A:$A,Data_Pivot_Table!Y$4))</f>
        <v>144.34998607840393</v>
      </c>
      <c r="Z118">
        <f>+IF(SUMIFS(Data_Long_Form!$D:$D,Data_Long_Form!$C:$C,Data_Pivot_Table!$V118,Data_Long_Form!$A:$A,Data_Pivot_Table!Z$4)=0,"",SUMIFS(Data_Long_Form!$D:$D,Data_Long_Form!$C:$C,Data_Pivot_Table!$V118,Data_Long_Form!$A:$A,Data_Pivot_Table!Z$4))</f>
        <v>268.91922063193874</v>
      </c>
      <c r="AA118">
        <f>+IF(SUMIFS(Data_Long_Form!$D:$D,Data_Long_Form!$C:$C,Data_Pivot_Table!$V118,Data_Long_Form!$A:$A,Data_Pivot_Table!AA$4)=0,"",SUMIFS(Data_Long_Form!$D:$D,Data_Long_Form!$C:$C,Data_Pivot_Table!$V118,Data_Long_Form!$A:$A,Data_Pivot_Table!AA$4))</f>
        <v>271.29183191133421</v>
      </c>
      <c r="AB118" t="str">
        <f>+IF(SUMIFS(Data_Long_Form!$D:$D,Data_Long_Form!$C:$C,Data_Pivot_Table!$V118,Data_Long_Form!$A:$A,Data_Pivot_Table!AB$4)=0,"",SUMIFS(Data_Long_Form!$D:$D,Data_Long_Form!$C:$C,Data_Pivot_Table!$V118,Data_Long_Form!$A:$A,Data_Pivot_Table!AB$4))</f>
        <v/>
      </c>
      <c r="AC118">
        <f>+IF(SUMIFS(Data_Long_Form!$D:$D,Data_Long_Form!$C:$C,Data_Pivot_Table!$V118,Data_Long_Form!$A:$A,Data_Pivot_Table!AC$4)=0,"",SUMIFS(Data_Long_Form!$D:$D,Data_Long_Form!$C:$C,Data_Pivot_Table!$V118,Data_Long_Form!$A:$A,Data_Pivot_Table!AC$4))</f>
        <v>393.88564350040173</v>
      </c>
    </row>
    <row r="119" spans="1:29" x14ac:dyDescent="0.2">
      <c r="A119" s="5">
        <v>0.42993055555555554</v>
      </c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7</v>
      </c>
      <c r="J119" s="4"/>
      <c r="K119">
        <v>0.42993055555555554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7</v>
      </c>
      <c r="V119" s="8">
        <v>0.42993055555555554</v>
      </c>
      <c r="W119">
        <f>+IF(SUMIFS(Data_Long_Form!$D:$D,Data_Long_Form!$C:$C,Data_Pivot_Table!$V119,Data_Long_Form!$A:$A,Data_Pivot_Table!W$4)=0,"",SUMIFS(Data_Long_Form!$D:$D,Data_Long_Form!$C:$C,Data_Pivot_Table!$V119,Data_Long_Form!$A:$A,Data_Pivot_Table!W$4))</f>
        <v>256.67258129652299</v>
      </c>
      <c r="X119">
        <f>+IF(SUMIFS(Data_Long_Form!$D:$D,Data_Long_Form!$C:$C,Data_Pivot_Table!$V119,Data_Long_Form!$A:$A,Data_Pivot_Table!X$4)=0,"",SUMIFS(Data_Long_Form!$D:$D,Data_Long_Form!$C:$C,Data_Pivot_Table!$V119,Data_Long_Form!$A:$A,Data_Pivot_Table!X$4))</f>
        <v>285.26112329740124</v>
      </c>
      <c r="Y119">
        <f>+IF(SUMIFS(Data_Long_Form!$D:$D,Data_Long_Form!$C:$C,Data_Pivot_Table!$V119,Data_Long_Form!$A:$A,Data_Pivot_Table!Y$4)=0,"",SUMIFS(Data_Long_Form!$D:$D,Data_Long_Form!$C:$C,Data_Pivot_Table!$V119,Data_Long_Form!$A:$A,Data_Pivot_Table!Y$4))</f>
        <v>145.13208056614286</v>
      </c>
      <c r="Z119">
        <f>+IF(SUMIFS(Data_Long_Form!$D:$D,Data_Long_Form!$C:$C,Data_Pivot_Table!$V119,Data_Long_Form!$A:$A,Data_Pivot_Table!Z$4)=0,"",SUMIFS(Data_Long_Form!$D:$D,Data_Long_Form!$C:$C,Data_Pivot_Table!$V119,Data_Long_Form!$A:$A,Data_Pivot_Table!Z$4))</f>
        <v>281.39958407729762</v>
      </c>
      <c r="AA119">
        <f>+IF(SUMIFS(Data_Long_Form!$D:$D,Data_Long_Form!$C:$C,Data_Pivot_Table!$V119,Data_Long_Form!$A:$A,Data_Pivot_Table!AA$4)=0,"",SUMIFS(Data_Long_Form!$D:$D,Data_Long_Form!$C:$C,Data_Pivot_Table!$V119,Data_Long_Form!$A:$A,Data_Pivot_Table!AA$4))</f>
        <v>288.83310894491569</v>
      </c>
      <c r="AB119">
        <f>+IF(SUMIFS(Data_Long_Form!$D:$D,Data_Long_Form!$C:$C,Data_Pivot_Table!$V119,Data_Long_Form!$A:$A,Data_Pivot_Table!AB$4)=0,"",SUMIFS(Data_Long_Form!$D:$D,Data_Long_Form!$C:$C,Data_Pivot_Table!$V119,Data_Long_Form!$A:$A,Data_Pivot_Table!AB$4))</f>
        <v>419.87214106633428</v>
      </c>
      <c r="AC119">
        <f>+IF(SUMIFS(Data_Long_Form!$D:$D,Data_Long_Form!$C:$C,Data_Pivot_Table!$V119,Data_Long_Form!$A:$A,Data_Pivot_Table!AC$4)=0,"",SUMIFS(Data_Long_Form!$D:$D,Data_Long_Form!$C:$C,Data_Pivot_Table!$V119,Data_Long_Form!$A:$A,Data_Pivot_Table!AC$4))</f>
        <v>391.04327429216403</v>
      </c>
    </row>
    <row r="120" spans="1:29" x14ac:dyDescent="0.2">
      <c r="A120" s="5">
        <v>0.43129629629629629</v>
      </c>
      <c r="B120" s="4">
        <v>1</v>
      </c>
      <c r="C120" s="4">
        <v>1</v>
      </c>
      <c r="D120" s="4">
        <v>1</v>
      </c>
      <c r="E120" s="4">
        <v>1</v>
      </c>
      <c r="F120" s="4">
        <v>1</v>
      </c>
      <c r="G120" s="4">
        <v>1</v>
      </c>
      <c r="H120" s="4">
        <v>1</v>
      </c>
      <c r="I120" s="4">
        <v>7</v>
      </c>
      <c r="J120" s="4"/>
      <c r="K120">
        <v>0.43129629629629629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7</v>
      </c>
      <c r="V120" s="8">
        <v>0.43129629629629629</v>
      </c>
      <c r="W120">
        <f>+IF(SUMIFS(Data_Long_Form!$D:$D,Data_Long_Form!$C:$C,Data_Pivot_Table!$V120,Data_Long_Form!$A:$A,Data_Pivot_Table!W$4)=0,"",SUMIFS(Data_Long_Form!$D:$D,Data_Long_Form!$C:$C,Data_Pivot_Table!$V120,Data_Long_Form!$A:$A,Data_Pivot_Table!W$4))</f>
        <v>279.15580340608983</v>
      </c>
      <c r="X120">
        <f>+IF(SUMIFS(Data_Long_Form!$D:$D,Data_Long_Form!$C:$C,Data_Pivot_Table!$V120,Data_Long_Form!$A:$A,Data_Pivot_Table!X$4)=0,"",SUMIFS(Data_Long_Form!$D:$D,Data_Long_Form!$C:$C,Data_Pivot_Table!$V120,Data_Long_Form!$A:$A,Data_Pivot_Table!X$4))</f>
        <v>313.60762440468858</v>
      </c>
      <c r="Y120">
        <f>+IF(SUMIFS(Data_Long_Form!$D:$D,Data_Long_Form!$C:$C,Data_Pivot_Table!$V120,Data_Long_Form!$A:$A,Data_Pivot_Table!Y$4)=0,"",SUMIFS(Data_Long_Form!$D:$D,Data_Long_Form!$C:$C,Data_Pivot_Table!$V120,Data_Long_Form!$A:$A,Data_Pivot_Table!Y$4))</f>
        <v>194.05042915716263</v>
      </c>
      <c r="Z120">
        <f>+IF(SUMIFS(Data_Long_Form!$D:$D,Data_Long_Form!$C:$C,Data_Pivot_Table!$V120,Data_Long_Form!$A:$A,Data_Pivot_Table!Z$4)=0,"",SUMIFS(Data_Long_Form!$D:$D,Data_Long_Form!$C:$C,Data_Pivot_Table!$V120,Data_Long_Form!$A:$A,Data_Pivot_Table!Z$4))</f>
        <v>314.32342243201242</v>
      </c>
      <c r="AA120">
        <f>+IF(SUMIFS(Data_Long_Form!$D:$D,Data_Long_Form!$C:$C,Data_Pivot_Table!$V120,Data_Long_Form!$A:$A,Data_Pivot_Table!AA$4)=0,"",SUMIFS(Data_Long_Form!$D:$D,Data_Long_Form!$C:$C,Data_Pivot_Table!$V120,Data_Long_Form!$A:$A,Data_Pivot_Table!AA$4))</f>
        <v>334.7571679172496</v>
      </c>
      <c r="AB120">
        <f>+IF(SUMIFS(Data_Long_Form!$D:$D,Data_Long_Form!$C:$C,Data_Pivot_Table!$V120,Data_Long_Form!$A:$A,Data_Pivot_Table!AB$4)=0,"",SUMIFS(Data_Long_Form!$D:$D,Data_Long_Form!$C:$C,Data_Pivot_Table!$V120,Data_Long_Form!$A:$A,Data_Pivot_Table!AB$4))</f>
        <v>499.21155552448772</v>
      </c>
      <c r="AC120">
        <f>+IF(SUMIFS(Data_Long_Form!$D:$D,Data_Long_Form!$C:$C,Data_Pivot_Table!$V120,Data_Long_Form!$A:$A,Data_Pivot_Table!AC$4)=0,"",SUMIFS(Data_Long_Form!$D:$D,Data_Long_Form!$C:$C,Data_Pivot_Table!$V120,Data_Long_Form!$A:$A,Data_Pivot_Table!AC$4))</f>
        <v>418.40919079737938</v>
      </c>
    </row>
    <row r="121" spans="1:29" x14ac:dyDescent="0.2">
      <c r="A121" s="5">
        <v>0.43130787037037038</v>
      </c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7</v>
      </c>
      <c r="J121" s="4"/>
      <c r="K121">
        <v>0.43130787037037038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7</v>
      </c>
      <c r="V121" s="8">
        <v>0.43130787037037038</v>
      </c>
      <c r="W121">
        <f>+IF(SUMIFS(Data_Long_Form!$D:$D,Data_Long_Form!$C:$C,Data_Pivot_Table!$V121,Data_Long_Form!$A:$A,Data_Pivot_Table!W$4)=0,"",SUMIFS(Data_Long_Form!$D:$D,Data_Long_Form!$C:$C,Data_Pivot_Table!$V121,Data_Long_Form!$A:$A,Data_Pivot_Table!W$4))</f>
        <v>277.92225351433905</v>
      </c>
      <c r="X121">
        <f>+IF(SUMIFS(Data_Long_Form!$D:$D,Data_Long_Form!$C:$C,Data_Pivot_Table!$V121,Data_Long_Form!$A:$A,Data_Pivot_Table!X$4)=0,"",SUMIFS(Data_Long_Form!$D:$D,Data_Long_Form!$C:$C,Data_Pivot_Table!$V121,Data_Long_Form!$A:$A,Data_Pivot_Table!X$4))</f>
        <v>314.20918652092149</v>
      </c>
      <c r="Y121">
        <f>+IF(SUMIFS(Data_Long_Form!$D:$D,Data_Long_Form!$C:$C,Data_Pivot_Table!$V121,Data_Long_Form!$A:$A,Data_Pivot_Table!Y$4)=0,"",SUMIFS(Data_Long_Form!$D:$D,Data_Long_Form!$C:$C,Data_Pivot_Table!$V121,Data_Long_Form!$A:$A,Data_Pivot_Table!Y$4))</f>
        <v>194.94122855348701</v>
      </c>
      <c r="Z121">
        <f>+IF(SUMIFS(Data_Long_Form!$D:$D,Data_Long_Form!$C:$C,Data_Pivot_Table!$V121,Data_Long_Form!$A:$A,Data_Pivot_Table!Z$4)=0,"",SUMIFS(Data_Long_Form!$D:$D,Data_Long_Form!$C:$C,Data_Pivot_Table!$V121,Data_Long_Form!$A:$A,Data_Pivot_Table!Z$4))</f>
        <v>314.25220161748422</v>
      </c>
      <c r="AA121">
        <f>+IF(SUMIFS(Data_Long_Form!$D:$D,Data_Long_Form!$C:$C,Data_Pivot_Table!$V121,Data_Long_Form!$A:$A,Data_Pivot_Table!AA$4)=0,"",SUMIFS(Data_Long_Form!$D:$D,Data_Long_Form!$C:$C,Data_Pivot_Table!$V121,Data_Long_Form!$A:$A,Data_Pivot_Table!AA$4))</f>
        <v>336.82241535492813</v>
      </c>
      <c r="AB121">
        <f>+IF(SUMIFS(Data_Long_Form!$D:$D,Data_Long_Form!$C:$C,Data_Pivot_Table!$V121,Data_Long_Form!$A:$A,Data_Pivot_Table!AB$4)=0,"",SUMIFS(Data_Long_Form!$D:$D,Data_Long_Form!$C:$C,Data_Pivot_Table!$V121,Data_Long_Form!$A:$A,Data_Pivot_Table!AB$4))</f>
        <v>502.0181748413687</v>
      </c>
      <c r="AC121">
        <f>+IF(SUMIFS(Data_Long_Form!$D:$D,Data_Long_Form!$C:$C,Data_Pivot_Table!$V121,Data_Long_Form!$A:$A,Data_Pivot_Table!AC$4)=0,"",SUMIFS(Data_Long_Form!$D:$D,Data_Long_Form!$C:$C,Data_Pivot_Table!$V121,Data_Long_Form!$A:$A,Data_Pivot_Table!AC$4))</f>
        <v>426.66999586552288</v>
      </c>
    </row>
    <row r="122" spans="1:29" x14ac:dyDescent="0.2">
      <c r="A122" s="5">
        <v>0.43131944444444442</v>
      </c>
      <c r="B122" s="4">
        <v>1</v>
      </c>
      <c r="C122" s="4">
        <v>1</v>
      </c>
      <c r="D122" s="4"/>
      <c r="E122" s="4">
        <v>1</v>
      </c>
      <c r="F122" s="4">
        <v>1</v>
      </c>
      <c r="G122" s="4">
        <v>1</v>
      </c>
      <c r="H122" s="4">
        <v>1</v>
      </c>
      <c r="I122" s="4">
        <v>6</v>
      </c>
      <c r="J122" s="4"/>
      <c r="K122">
        <v>0.43131944444444442</v>
      </c>
      <c r="L122">
        <v>1</v>
      </c>
      <c r="M122">
        <v>1</v>
      </c>
      <c r="N122">
        <v>1</v>
      </c>
      <c r="O122">
        <v>1</v>
      </c>
      <c r="P122">
        <v>1</v>
      </c>
      <c r="R122">
        <v>1</v>
      </c>
      <c r="S122">
        <v>6</v>
      </c>
      <c r="V122" s="8">
        <v>0.43131944444444442</v>
      </c>
      <c r="W122">
        <f>+IF(SUMIFS(Data_Long_Form!$D:$D,Data_Long_Form!$C:$C,Data_Pivot_Table!$V122,Data_Long_Form!$A:$A,Data_Pivot_Table!W$4)=0,"",SUMIFS(Data_Long_Form!$D:$D,Data_Long_Form!$C:$C,Data_Pivot_Table!$V122,Data_Long_Form!$A:$A,Data_Pivot_Table!W$4))</f>
        <v>277.05165231188761</v>
      </c>
      <c r="X122">
        <f>+IF(SUMIFS(Data_Long_Form!$D:$D,Data_Long_Form!$C:$C,Data_Pivot_Table!$V122,Data_Long_Form!$A:$A,Data_Pivot_Table!X$4)=0,"",SUMIFS(Data_Long_Form!$D:$D,Data_Long_Form!$C:$C,Data_Pivot_Table!$V122,Data_Long_Form!$A:$A,Data_Pivot_Table!X$4))</f>
        <v>313.10759791039465</v>
      </c>
      <c r="Y122">
        <f>+IF(SUMIFS(Data_Long_Form!$D:$D,Data_Long_Form!$C:$C,Data_Pivot_Table!$V122,Data_Long_Form!$A:$A,Data_Pivot_Table!Y$4)=0,"",SUMIFS(Data_Long_Form!$D:$D,Data_Long_Form!$C:$C,Data_Pivot_Table!$V122,Data_Long_Form!$A:$A,Data_Pivot_Table!Y$4))</f>
        <v>193.9191250791805</v>
      </c>
      <c r="Z122">
        <f>+IF(SUMIFS(Data_Long_Form!$D:$D,Data_Long_Form!$C:$C,Data_Pivot_Table!$V122,Data_Long_Form!$A:$A,Data_Pivot_Table!Z$4)=0,"",SUMIFS(Data_Long_Form!$D:$D,Data_Long_Form!$C:$C,Data_Pivot_Table!$V122,Data_Long_Form!$A:$A,Data_Pivot_Table!Z$4))</f>
        <v>306.42158359214977</v>
      </c>
      <c r="AA122">
        <f>+IF(SUMIFS(Data_Long_Form!$D:$D,Data_Long_Form!$C:$C,Data_Pivot_Table!$V122,Data_Long_Form!$A:$A,Data_Pivot_Table!AA$4)=0,"",SUMIFS(Data_Long_Form!$D:$D,Data_Long_Form!$C:$C,Data_Pivot_Table!$V122,Data_Long_Form!$A:$A,Data_Pivot_Table!AA$4))</f>
        <v>335.79874779147269</v>
      </c>
      <c r="AB122" t="str">
        <f>+IF(SUMIFS(Data_Long_Form!$D:$D,Data_Long_Form!$C:$C,Data_Pivot_Table!$V122,Data_Long_Form!$A:$A,Data_Pivot_Table!AB$4)=0,"",SUMIFS(Data_Long_Form!$D:$D,Data_Long_Form!$C:$C,Data_Pivot_Table!$V122,Data_Long_Form!$A:$A,Data_Pivot_Table!AB$4))</f>
        <v/>
      </c>
      <c r="AC122">
        <f>+IF(SUMIFS(Data_Long_Form!$D:$D,Data_Long_Form!$C:$C,Data_Pivot_Table!$V122,Data_Long_Form!$A:$A,Data_Pivot_Table!AC$4)=0,"",SUMIFS(Data_Long_Form!$D:$D,Data_Long_Form!$C:$C,Data_Pivot_Table!$V122,Data_Long_Form!$A:$A,Data_Pivot_Table!AC$4))</f>
        <v>423.00129874451699</v>
      </c>
    </row>
    <row r="123" spans="1:29" x14ac:dyDescent="0.2">
      <c r="A123" s="5">
        <v>0.43133101851851852</v>
      </c>
      <c r="B123" s="4"/>
      <c r="C123" s="4"/>
      <c r="D123" s="4"/>
      <c r="E123" s="4">
        <v>1</v>
      </c>
      <c r="F123" s="4"/>
      <c r="G123" s="4"/>
      <c r="H123" s="4">
        <v>1</v>
      </c>
      <c r="I123" s="4">
        <v>2</v>
      </c>
      <c r="J123" s="4"/>
      <c r="K123">
        <v>0.43133101851851852</v>
      </c>
      <c r="N123">
        <v>1</v>
      </c>
      <c r="R123">
        <v>1</v>
      </c>
      <c r="S123">
        <v>2</v>
      </c>
      <c r="V123" s="8">
        <v>0.43133101851851852</v>
      </c>
      <c r="W123" t="str">
        <f>+IF(SUMIFS(Data_Long_Form!$D:$D,Data_Long_Form!$C:$C,Data_Pivot_Table!$V123,Data_Long_Form!$A:$A,Data_Pivot_Table!W$4)=0,"",SUMIFS(Data_Long_Form!$D:$D,Data_Long_Form!$C:$C,Data_Pivot_Table!$V123,Data_Long_Form!$A:$A,Data_Pivot_Table!W$4))</f>
        <v/>
      </c>
      <c r="X123" t="str">
        <f>+IF(SUMIFS(Data_Long_Form!$D:$D,Data_Long_Form!$C:$C,Data_Pivot_Table!$V123,Data_Long_Form!$A:$A,Data_Pivot_Table!X$4)=0,"",SUMIFS(Data_Long_Form!$D:$D,Data_Long_Form!$C:$C,Data_Pivot_Table!$V123,Data_Long_Form!$A:$A,Data_Pivot_Table!X$4))</f>
        <v/>
      </c>
      <c r="Y123">
        <f>+IF(SUMIFS(Data_Long_Form!$D:$D,Data_Long_Form!$C:$C,Data_Pivot_Table!$V123,Data_Long_Form!$A:$A,Data_Pivot_Table!Y$4)=0,"",SUMIFS(Data_Long_Form!$D:$D,Data_Long_Form!$C:$C,Data_Pivot_Table!$V123,Data_Long_Form!$A:$A,Data_Pivot_Table!Y$4))</f>
        <v>172.37190994233652</v>
      </c>
      <c r="Z123" t="str">
        <f>+IF(SUMIFS(Data_Long_Form!$D:$D,Data_Long_Form!$C:$C,Data_Pivot_Table!$V123,Data_Long_Form!$A:$A,Data_Pivot_Table!Z$4)=0,"",SUMIFS(Data_Long_Form!$D:$D,Data_Long_Form!$C:$C,Data_Pivot_Table!$V123,Data_Long_Form!$A:$A,Data_Pivot_Table!Z$4))</f>
        <v/>
      </c>
      <c r="AA123" t="str">
        <f>+IF(SUMIFS(Data_Long_Form!$D:$D,Data_Long_Form!$C:$C,Data_Pivot_Table!$V123,Data_Long_Form!$A:$A,Data_Pivot_Table!AA$4)=0,"",SUMIFS(Data_Long_Form!$D:$D,Data_Long_Form!$C:$C,Data_Pivot_Table!$V123,Data_Long_Form!$A:$A,Data_Pivot_Table!AA$4))</f>
        <v/>
      </c>
      <c r="AB123" t="str">
        <f>+IF(SUMIFS(Data_Long_Form!$D:$D,Data_Long_Form!$C:$C,Data_Pivot_Table!$V123,Data_Long_Form!$A:$A,Data_Pivot_Table!AB$4)=0,"",SUMIFS(Data_Long_Form!$D:$D,Data_Long_Form!$C:$C,Data_Pivot_Table!$V123,Data_Long_Form!$A:$A,Data_Pivot_Table!AB$4))</f>
        <v/>
      </c>
      <c r="AC123">
        <f>+IF(SUMIFS(Data_Long_Form!$D:$D,Data_Long_Form!$C:$C,Data_Pivot_Table!$V123,Data_Long_Form!$A:$A,Data_Pivot_Table!AC$4)=0,"",SUMIFS(Data_Long_Form!$D:$D,Data_Long_Form!$C:$C,Data_Pivot_Table!$V123,Data_Long_Form!$A:$A,Data_Pivot_Table!AC$4))</f>
        <v>431.19137222961893</v>
      </c>
    </row>
    <row r="124" spans="1:29" x14ac:dyDescent="0.2">
      <c r="A124" s="5">
        <v>0.43134259259259261</v>
      </c>
      <c r="B124" s="4"/>
      <c r="C124" s="4">
        <v>1</v>
      </c>
      <c r="D124" s="4"/>
      <c r="E124" s="4">
        <v>1</v>
      </c>
      <c r="F124" s="4"/>
      <c r="G124" s="4"/>
      <c r="H124" s="4">
        <v>1</v>
      </c>
      <c r="I124" s="4">
        <v>3</v>
      </c>
      <c r="J124" s="4"/>
      <c r="K124">
        <v>0.43134259259259261</v>
      </c>
      <c r="N124">
        <v>1</v>
      </c>
      <c r="P124">
        <v>1</v>
      </c>
      <c r="R124">
        <v>1</v>
      </c>
      <c r="S124">
        <v>3</v>
      </c>
      <c r="V124" s="8">
        <v>0.43134259259259261</v>
      </c>
      <c r="W124" t="str">
        <f>+IF(SUMIFS(Data_Long_Form!$D:$D,Data_Long_Form!$C:$C,Data_Pivot_Table!$V124,Data_Long_Form!$A:$A,Data_Pivot_Table!W$4)=0,"",SUMIFS(Data_Long_Form!$D:$D,Data_Long_Form!$C:$C,Data_Pivot_Table!$V124,Data_Long_Form!$A:$A,Data_Pivot_Table!W$4))</f>
        <v/>
      </c>
      <c r="X124" t="str">
        <f>+IF(SUMIFS(Data_Long_Form!$D:$D,Data_Long_Form!$C:$C,Data_Pivot_Table!$V124,Data_Long_Form!$A:$A,Data_Pivot_Table!X$4)=0,"",SUMIFS(Data_Long_Form!$D:$D,Data_Long_Form!$C:$C,Data_Pivot_Table!$V124,Data_Long_Form!$A:$A,Data_Pivot_Table!X$4))</f>
        <v/>
      </c>
      <c r="Y124">
        <f>+IF(SUMIFS(Data_Long_Form!$D:$D,Data_Long_Form!$C:$C,Data_Pivot_Table!$V124,Data_Long_Form!$A:$A,Data_Pivot_Table!Y$4)=0,"",SUMIFS(Data_Long_Form!$D:$D,Data_Long_Form!$C:$C,Data_Pivot_Table!$V124,Data_Long_Form!$A:$A,Data_Pivot_Table!Y$4))</f>
        <v>196.34186661271383</v>
      </c>
      <c r="Z124" t="str">
        <f>+IF(SUMIFS(Data_Long_Form!$D:$D,Data_Long_Form!$C:$C,Data_Pivot_Table!$V124,Data_Long_Form!$A:$A,Data_Pivot_Table!Z$4)=0,"",SUMIFS(Data_Long_Form!$D:$D,Data_Long_Form!$C:$C,Data_Pivot_Table!$V124,Data_Long_Form!$A:$A,Data_Pivot_Table!Z$4))</f>
        <v/>
      </c>
      <c r="AA124">
        <f>+IF(SUMIFS(Data_Long_Form!$D:$D,Data_Long_Form!$C:$C,Data_Pivot_Table!$V124,Data_Long_Form!$A:$A,Data_Pivot_Table!AA$4)=0,"",SUMIFS(Data_Long_Form!$D:$D,Data_Long_Form!$C:$C,Data_Pivot_Table!$V124,Data_Long_Form!$A:$A,Data_Pivot_Table!AA$4))</f>
        <v>324.41911006935169</v>
      </c>
      <c r="AB124" t="str">
        <f>+IF(SUMIFS(Data_Long_Form!$D:$D,Data_Long_Form!$C:$C,Data_Pivot_Table!$V124,Data_Long_Form!$A:$A,Data_Pivot_Table!AB$4)=0,"",SUMIFS(Data_Long_Form!$D:$D,Data_Long_Form!$C:$C,Data_Pivot_Table!$V124,Data_Long_Form!$A:$A,Data_Pivot_Table!AB$4))</f>
        <v/>
      </c>
      <c r="AC124">
        <f>+IF(SUMIFS(Data_Long_Form!$D:$D,Data_Long_Form!$C:$C,Data_Pivot_Table!$V124,Data_Long_Form!$A:$A,Data_Pivot_Table!AC$4)=0,"",SUMIFS(Data_Long_Form!$D:$D,Data_Long_Form!$C:$C,Data_Pivot_Table!$V124,Data_Long_Form!$A:$A,Data_Pivot_Table!AC$4))</f>
        <v>427.25132277952025</v>
      </c>
    </row>
    <row r="125" spans="1:29" x14ac:dyDescent="0.2">
      <c r="A125" s="5">
        <v>0.43135416666666665</v>
      </c>
      <c r="B125" s="4"/>
      <c r="C125" s="4"/>
      <c r="D125" s="4"/>
      <c r="E125" s="4">
        <v>1</v>
      </c>
      <c r="F125" s="4"/>
      <c r="G125" s="4"/>
      <c r="H125" s="4"/>
      <c r="I125" s="4">
        <v>1</v>
      </c>
      <c r="J125" s="4"/>
      <c r="K125">
        <v>0.43135416666666665</v>
      </c>
      <c r="R125">
        <v>1</v>
      </c>
      <c r="S125">
        <v>1</v>
      </c>
      <c r="V125" s="8">
        <v>0.43135416666666665</v>
      </c>
      <c r="W125" t="str">
        <f>+IF(SUMIFS(Data_Long_Form!$D:$D,Data_Long_Form!$C:$C,Data_Pivot_Table!$V125,Data_Long_Form!$A:$A,Data_Pivot_Table!W$4)=0,"",SUMIFS(Data_Long_Form!$D:$D,Data_Long_Form!$C:$C,Data_Pivot_Table!$V125,Data_Long_Form!$A:$A,Data_Pivot_Table!W$4))</f>
        <v/>
      </c>
      <c r="X125" t="str">
        <f>+IF(SUMIFS(Data_Long_Form!$D:$D,Data_Long_Form!$C:$C,Data_Pivot_Table!$V125,Data_Long_Form!$A:$A,Data_Pivot_Table!X$4)=0,"",SUMIFS(Data_Long_Form!$D:$D,Data_Long_Form!$C:$C,Data_Pivot_Table!$V125,Data_Long_Form!$A:$A,Data_Pivot_Table!X$4))</f>
        <v/>
      </c>
      <c r="Y125" t="str">
        <f>+IF(SUMIFS(Data_Long_Form!$D:$D,Data_Long_Form!$C:$C,Data_Pivot_Table!$V125,Data_Long_Form!$A:$A,Data_Pivot_Table!Y$4)=0,"",SUMIFS(Data_Long_Form!$D:$D,Data_Long_Form!$C:$C,Data_Pivot_Table!$V125,Data_Long_Form!$A:$A,Data_Pivot_Table!Y$4))</f>
        <v/>
      </c>
      <c r="Z125" t="str">
        <f>+IF(SUMIFS(Data_Long_Form!$D:$D,Data_Long_Form!$C:$C,Data_Pivot_Table!$V125,Data_Long_Form!$A:$A,Data_Pivot_Table!Z$4)=0,"",SUMIFS(Data_Long_Form!$D:$D,Data_Long_Form!$C:$C,Data_Pivot_Table!$V125,Data_Long_Form!$A:$A,Data_Pivot_Table!Z$4))</f>
        <v/>
      </c>
      <c r="AA125" t="str">
        <f>+IF(SUMIFS(Data_Long_Form!$D:$D,Data_Long_Form!$C:$C,Data_Pivot_Table!$V125,Data_Long_Form!$A:$A,Data_Pivot_Table!AA$4)=0,"",SUMIFS(Data_Long_Form!$D:$D,Data_Long_Form!$C:$C,Data_Pivot_Table!$V125,Data_Long_Form!$A:$A,Data_Pivot_Table!AA$4))</f>
        <v/>
      </c>
      <c r="AB125" t="str">
        <f>+IF(SUMIFS(Data_Long_Form!$D:$D,Data_Long_Form!$C:$C,Data_Pivot_Table!$V125,Data_Long_Form!$A:$A,Data_Pivot_Table!AB$4)=0,"",SUMIFS(Data_Long_Form!$D:$D,Data_Long_Form!$C:$C,Data_Pivot_Table!$V125,Data_Long_Form!$A:$A,Data_Pivot_Table!AB$4))</f>
        <v/>
      </c>
      <c r="AC125">
        <f>+IF(SUMIFS(Data_Long_Form!$D:$D,Data_Long_Form!$C:$C,Data_Pivot_Table!$V125,Data_Long_Form!$A:$A,Data_Pivot_Table!AC$4)=0,"",SUMIFS(Data_Long_Form!$D:$D,Data_Long_Form!$C:$C,Data_Pivot_Table!$V125,Data_Long_Form!$A:$A,Data_Pivot_Table!AC$4))</f>
        <v>429.96999354969188</v>
      </c>
    </row>
    <row r="126" spans="1:29" x14ac:dyDescent="0.2">
      <c r="A126" s="5">
        <v>0.43137731481481484</v>
      </c>
      <c r="B126" s="4"/>
      <c r="C126" s="4"/>
      <c r="D126" s="4"/>
      <c r="E126" s="4"/>
      <c r="F126" s="4"/>
      <c r="G126" s="4">
        <v>1</v>
      </c>
      <c r="H126" s="4"/>
      <c r="I126" s="4">
        <v>1</v>
      </c>
      <c r="J126" s="4"/>
      <c r="K126">
        <v>0.43137731481481484</v>
      </c>
      <c r="M126">
        <v>1</v>
      </c>
      <c r="S126">
        <v>1</v>
      </c>
      <c r="V126" s="8">
        <v>0.43137731481481484</v>
      </c>
      <c r="W126" t="str">
        <f>+IF(SUMIFS(Data_Long_Form!$D:$D,Data_Long_Form!$C:$C,Data_Pivot_Table!$V126,Data_Long_Form!$A:$A,Data_Pivot_Table!W$4)=0,"",SUMIFS(Data_Long_Form!$D:$D,Data_Long_Form!$C:$C,Data_Pivot_Table!$V126,Data_Long_Form!$A:$A,Data_Pivot_Table!W$4))</f>
        <v/>
      </c>
      <c r="X126">
        <f>+IF(SUMIFS(Data_Long_Form!$D:$D,Data_Long_Form!$C:$C,Data_Pivot_Table!$V126,Data_Long_Form!$A:$A,Data_Pivot_Table!X$4)=0,"",SUMIFS(Data_Long_Form!$D:$D,Data_Long_Form!$C:$C,Data_Pivot_Table!$V126,Data_Long_Form!$A:$A,Data_Pivot_Table!X$4))</f>
        <v>297.58374321047211</v>
      </c>
      <c r="Y126" t="str">
        <f>+IF(SUMIFS(Data_Long_Form!$D:$D,Data_Long_Form!$C:$C,Data_Pivot_Table!$V126,Data_Long_Form!$A:$A,Data_Pivot_Table!Y$4)=0,"",SUMIFS(Data_Long_Form!$D:$D,Data_Long_Form!$C:$C,Data_Pivot_Table!$V126,Data_Long_Form!$A:$A,Data_Pivot_Table!Y$4))</f>
        <v/>
      </c>
      <c r="Z126" t="str">
        <f>+IF(SUMIFS(Data_Long_Form!$D:$D,Data_Long_Form!$C:$C,Data_Pivot_Table!$V126,Data_Long_Form!$A:$A,Data_Pivot_Table!Z$4)=0,"",SUMIFS(Data_Long_Form!$D:$D,Data_Long_Form!$C:$C,Data_Pivot_Table!$V126,Data_Long_Form!$A:$A,Data_Pivot_Table!Z$4))</f>
        <v/>
      </c>
      <c r="AA126" t="str">
        <f>+IF(SUMIFS(Data_Long_Form!$D:$D,Data_Long_Form!$C:$C,Data_Pivot_Table!$V126,Data_Long_Form!$A:$A,Data_Pivot_Table!AA$4)=0,"",SUMIFS(Data_Long_Form!$D:$D,Data_Long_Form!$C:$C,Data_Pivot_Table!$V126,Data_Long_Form!$A:$A,Data_Pivot_Table!AA$4))</f>
        <v/>
      </c>
      <c r="AB126" t="str">
        <f>+IF(SUMIFS(Data_Long_Form!$D:$D,Data_Long_Form!$C:$C,Data_Pivot_Table!$V126,Data_Long_Form!$A:$A,Data_Pivot_Table!AB$4)=0,"",SUMIFS(Data_Long_Form!$D:$D,Data_Long_Form!$C:$C,Data_Pivot_Table!$V126,Data_Long_Form!$A:$A,Data_Pivot_Table!AB$4))</f>
        <v/>
      </c>
      <c r="AC126" t="str">
        <f>+IF(SUMIFS(Data_Long_Form!$D:$D,Data_Long_Form!$C:$C,Data_Pivot_Table!$V126,Data_Long_Form!$A:$A,Data_Pivot_Table!AC$4)=0,"",SUMIFS(Data_Long_Form!$D:$D,Data_Long_Form!$C:$C,Data_Pivot_Table!$V126,Data_Long_Form!$A:$A,Data_Pivot_Table!AC$4))</f>
        <v/>
      </c>
    </row>
    <row r="127" spans="1:29" x14ac:dyDescent="0.2">
      <c r="A127" s="5">
        <v>0.43275462962962963</v>
      </c>
      <c r="B127" s="4">
        <v>1</v>
      </c>
      <c r="C127" s="4">
        <v>1</v>
      </c>
      <c r="D127" s="4">
        <v>1</v>
      </c>
      <c r="E127" s="4"/>
      <c r="F127" s="4">
        <v>1</v>
      </c>
      <c r="G127" s="4">
        <v>1</v>
      </c>
      <c r="H127" s="4">
        <v>1</v>
      </c>
      <c r="I127" s="4">
        <v>6</v>
      </c>
      <c r="J127" s="4"/>
      <c r="K127">
        <v>0.43275462962962963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S127">
        <v>6</v>
      </c>
      <c r="V127" s="8">
        <v>0.43275462962962963</v>
      </c>
      <c r="W127">
        <f>+IF(SUMIFS(Data_Long_Form!$D:$D,Data_Long_Form!$C:$C,Data_Pivot_Table!$V127,Data_Long_Form!$A:$A,Data_Pivot_Table!W$4)=0,"",SUMIFS(Data_Long_Form!$D:$D,Data_Long_Form!$C:$C,Data_Pivot_Table!$V127,Data_Long_Form!$A:$A,Data_Pivot_Table!W$4))</f>
        <v>311.12663223063396</v>
      </c>
      <c r="X127">
        <f>+IF(SUMIFS(Data_Long_Form!$D:$D,Data_Long_Form!$C:$C,Data_Pivot_Table!$V127,Data_Long_Form!$A:$A,Data_Pivot_Table!X$4)=0,"",SUMIFS(Data_Long_Form!$D:$D,Data_Long_Form!$C:$C,Data_Pivot_Table!$V127,Data_Long_Form!$A:$A,Data_Pivot_Table!X$4))</f>
        <v>369.55068401657627</v>
      </c>
      <c r="Y127">
        <f>+IF(SUMIFS(Data_Long_Form!$D:$D,Data_Long_Form!$C:$C,Data_Pivot_Table!$V127,Data_Long_Form!$A:$A,Data_Pivot_Table!Y$4)=0,"",SUMIFS(Data_Long_Form!$D:$D,Data_Long_Form!$C:$C,Data_Pivot_Table!$V127,Data_Long_Form!$A:$A,Data_Pivot_Table!Y$4))</f>
        <v>220.77925116727937</v>
      </c>
      <c r="Z127">
        <f>+IF(SUMIFS(Data_Long_Form!$D:$D,Data_Long_Form!$C:$C,Data_Pivot_Table!$V127,Data_Long_Form!$A:$A,Data_Pivot_Table!Z$4)=0,"",SUMIFS(Data_Long_Form!$D:$D,Data_Long_Form!$C:$C,Data_Pivot_Table!$V127,Data_Long_Form!$A:$A,Data_Pivot_Table!Z$4))</f>
        <v>392.64817944302757</v>
      </c>
      <c r="AA127">
        <f>+IF(SUMIFS(Data_Long_Form!$D:$D,Data_Long_Form!$C:$C,Data_Pivot_Table!$V127,Data_Long_Form!$A:$A,Data_Pivot_Table!AA$4)=0,"",SUMIFS(Data_Long_Form!$D:$D,Data_Long_Form!$C:$C,Data_Pivot_Table!$V127,Data_Long_Form!$A:$A,Data_Pivot_Table!AA$4))</f>
        <v>378.22147813343867</v>
      </c>
      <c r="AB127">
        <f>+IF(SUMIFS(Data_Long_Form!$D:$D,Data_Long_Form!$C:$C,Data_Pivot_Table!$V127,Data_Long_Form!$A:$A,Data_Pivot_Table!AB$4)=0,"",SUMIFS(Data_Long_Form!$D:$D,Data_Long_Form!$C:$C,Data_Pivot_Table!$V127,Data_Long_Form!$A:$A,Data_Pivot_Table!AB$4))</f>
        <v>480.33806530600407</v>
      </c>
      <c r="AC127" t="str">
        <f>+IF(SUMIFS(Data_Long_Form!$D:$D,Data_Long_Form!$C:$C,Data_Pivot_Table!$V127,Data_Long_Form!$A:$A,Data_Pivot_Table!AC$4)=0,"",SUMIFS(Data_Long_Form!$D:$D,Data_Long_Form!$C:$C,Data_Pivot_Table!$V127,Data_Long_Form!$A:$A,Data_Pivot_Table!AC$4))</f>
        <v/>
      </c>
    </row>
    <row r="128" spans="1:29" x14ac:dyDescent="0.2">
      <c r="A128" s="5">
        <v>0.43276620370370372</v>
      </c>
      <c r="B128" s="4"/>
      <c r="C128" s="4"/>
      <c r="D128" s="4"/>
      <c r="E128" s="4"/>
      <c r="F128" s="4">
        <v>1</v>
      </c>
      <c r="G128" s="4">
        <v>1</v>
      </c>
      <c r="H128" s="4">
        <v>1</v>
      </c>
      <c r="I128" s="4">
        <v>3</v>
      </c>
      <c r="J128" s="4"/>
      <c r="K128">
        <v>0.43276620370370372</v>
      </c>
      <c r="L128">
        <v>1</v>
      </c>
      <c r="M128">
        <v>1</v>
      </c>
      <c r="N128">
        <v>1</v>
      </c>
      <c r="S128">
        <v>3</v>
      </c>
      <c r="V128" s="8">
        <v>0.43276620370370372</v>
      </c>
      <c r="W128">
        <f>+IF(SUMIFS(Data_Long_Form!$D:$D,Data_Long_Form!$C:$C,Data_Pivot_Table!$V128,Data_Long_Form!$A:$A,Data_Pivot_Table!W$4)=0,"",SUMIFS(Data_Long_Form!$D:$D,Data_Long_Form!$C:$C,Data_Pivot_Table!$V128,Data_Long_Form!$A:$A,Data_Pivot_Table!W$4))</f>
        <v>300.36823981101963</v>
      </c>
      <c r="X128">
        <f>+IF(SUMIFS(Data_Long_Form!$D:$D,Data_Long_Form!$C:$C,Data_Pivot_Table!$V128,Data_Long_Form!$A:$A,Data_Pivot_Table!X$4)=0,"",SUMIFS(Data_Long_Form!$D:$D,Data_Long_Form!$C:$C,Data_Pivot_Table!$V128,Data_Long_Form!$A:$A,Data_Pivot_Table!X$4))</f>
        <v>356.48890486883835</v>
      </c>
      <c r="Y128">
        <f>+IF(SUMIFS(Data_Long_Form!$D:$D,Data_Long_Form!$C:$C,Data_Pivot_Table!$V128,Data_Long_Form!$A:$A,Data_Pivot_Table!Y$4)=0,"",SUMIFS(Data_Long_Form!$D:$D,Data_Long_Form!$C:$C,Data_Pivot_Table!$V128,Data_Long_Form!$A:$A,Data_Pivot_Table!Y$4))</f>
        <v>214.05777617717288</v>
      </c>
      <c r="Z128" t="str">
        <f>+IF(SUMIFS(Data_Long_Form!$D:$D,Data_Long_Form!$C:$C,Data_Pivot_Table!$V128,Data_Long_Form!$A:$A,Data_Pivot_Table!Z$4)=0,"",SUMIFS(Data_Long_Form!$D:$D,Data_Long_Form!$C:$C,Data_Pivot_Table!$V128,Data_Long_Form!$A:$A,Data_Pivot_Table!Z$4))</f>
        <v/>
      </c>
      <c r="AA128" t="str">
        <f>+IF(SUMIFS(Data_Long_Form!$D:$D,Data_Long_Form!$C:$C,Data_Pivot_Table!$V128,Data_Long_Form!$A:$A,Data_Pivot_Table!AA$4)=0,"",SUMIFS(Data_Long_Form!$D:$D,Data_Long_Form!$C:$C,Data_Pivot_Table!$V128,Data_Long_Form!$A:$A,Data_Pivot_Table!AA$4))</f>
        <v/>
      </c>
      <c r="AB128" t="str">
        <f>+IF(SUMIFS(Data_Long_Form!$D:$D,Data_Long_Form!$C:$C,Data_Pivot_Table!$V128,Data_Long_Form!$A:$A,Data_Pivot_Table!AB$4)=0,"",SUMIFS(Data_Long_Form!$D:$D,Data_Long_Form!$C:$C,Data_Pivot_Table!$V128,Data_Long_Form!$A:$A,Data_Pivot_Table!AB$4))</f>
        <v/>
      </c>
      <c r="AC128" t="str">
        <f>+IF(SUMIFS(Data_Long_Form!$D:$D,Data_Long_Form!$C:$C,Data_Pivot_Table!$V128,Data_Long_Form!$A:$A,Data_Pivot_Table!AC$4)=0,"",SUMIFS(Data_Long_Form!$D:$D,Data_Long_Form!$C:$C,Data_Pivot_Table!$V128,Data_Long_Form!$A:$A,Data_Pivot_Table!AC$4))</f>
        <v/>
      </c>
    </row>
    <row r="129" spans="1:29" x14ac:dyDescent="0.2">
      <c r="A129" s="5">
        <v>0.43277777777777776</v>
      </c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7</v>
      </c>
      <c r="J129" s="4"/>
      <c r="K129">
        <v>0.43277777777777776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7</v>
      </c>
      <c r="V129" s="8">
        <v>0.43277777777777776</v>
      </c>
      <c r="W129">
        <f>+IF(SUMIFS(Data_Long_Form!$D:$D,Data_Long_Form!$C:$C,Data_Pivot_Table!$V129,Data_Long_Form!$A:$A,Data_Pivot_Table!W$4)=0,"",SUMIFS(Data_Long_Form!$D:$D,Data_Long_Form!$C:$C,Data_Pivot_Table!$V129,Data_Long_Form!$A:$A,Data_Pivot_Table!W$4))</f>
        <v>275.15495066141267</v>
      </c>
      <c r="X129">
        <f>+IF(SUMIFS(Data_Long_Form!$D:$D,Data_Long_Form!$C:$C,Data_Pivot_Table!$V129,Data_Long_Form!$A:$A,Data_Pivot_Table!X$4)=0,"",SUMIFS(Data_Long_Form!$D:$D,Data_Long_Form!$C:$C,Data_Pivot_Table!$V129,Data_Long_Form!$A:$A,Data_Pivot_Table!X$4))</f>
        <v>375.89721283144291</v>
      </c>
      <c r="Y129">
        <f>+IF(SUMIFS(Data_Long_Form!$D:$D,Data_Long_Form!$C:$C,Data_Pivot_Table!$V129,Data_Long_Form!$A:$A,Data_Pivot_Table!Y$4)=0,"",SUMIFS(Data_Long_Form!$D:$D,Data_Long_Form!$C:$C,Data_Pivot_Table!$V129,Data_Long_Form!$A:$A,Data_Pivot_Table!Y$4))</f>
        <v>212.57133951748173</v>
      </c>
      <c r="Z129">
        <f>+IF(SUMIFS(Data_Long_Form!$D:$D,Data_Long_Form!$C:$C,Data_Pivot_Table!$V129,Data_Long_Form!$A:$A,Data_Pivot_Table!Z$4)=0,"",SUMIFS(Data_Long_Form!$D:$D,Data_Long_Form!$C:$C,Data_Pivot_Table!$V129,Data_Long_Form!$A:$A,Data_Pivot_Table!Z$4))</f>
        <v>401.24458404771769</v>
      </c>
      <c r="AA129">
        <f>+IF(SUMIFS(Data_Long_Form!$D:$D,Data_Long_Form!$C:$C,Data_Pivot_Table!$V129,Data_Long_Form!$A:$A,Data_Pivot_Table!AA$4)=0,"",SUMIFS(Data_Long_Form!$D:$D,Data_Long_Form!$C:$C,Data_Pivot_Table!$V129,Data_Long_Form!$A:$A,Data_Pivot_Table!AA$4))</f>
        <v>397.00363029689112</v>
      </c>
      <c r="AB129">
        <f>+IF(SUMIFS(Data_Long_Form!$D:$D,Data_Long_Form!$C:$C,Data_Pivot_Table!$V129,Data_Long_Form!$A:$A,Data_Pivot_Table!AB$4)=0,"",SUMIFS(Data_Long_Form!$D:$D,Data_Long_Form!$C:$C,Data_Pivot_Table!$V129,Data_Long_Form!$A:$A,Data_Pivot_Table!AB$4))</f>
        <v>504.57841938237448</v>
      </c>
      <c r="AC129">
        <f>+IF(SUMIFS(Data_Long_Form!$D:$D,Data_Long_Form!$C:$C,Data_Pivot_Table!$V129,Data_Long_Form!$A:$A,Data_Pivot_Table!AC$4)=0,"",SUMIFS(Data_Long_Form!$D:$D,Data_Long_Form!$C:$C,Data_Pivot_Table!$V129,Data_Long_Form!$A:$A,Data_Pivot_Table!AC$4))</f>
        <v>336.51118362035731</v>
      </c>
    </row>
    <row r="130" spans="1:29" x14ac:dyDescent="0.2">
      <c r="A130" s="5">
        <v>0.43278935185185186</v>
      </c>
      <c r="B130" s="4">
        <v>1</v>
      </c>
      <c r="C130" s="4"/>
      <c r="D130" s="4"/>
      <c r="E130" s="4">
        <v>1</v>
      </c>
      <c r="F130" s="4">
        <v>1</v>
      </c>
      <c r="G130" s="4">
        <v>1</v>
      </c>
      <c r="H130" s="4">
        <v>1</v>
      </c>
      <c r="I130" s="4">
        <v>5</v>
      </c>
      <c r="J130" s="4"/>
      <c r="K130">
        <v>0.43278935185185186</v>
      </c>
      <c r="L130">
        <v>1</v>
      </c>
      <c r="M130">
        <v>1</v>
      </c>
      <c r="N130">
        <v>1</v>
      </c>
      <c r="O130">
        <v>1</v>
      </c>
      <c r="R130">
        <v>1</v>
      </c>
      <c r="S130">
        <v>5</v>
      </c>
      <c r="V130" s="8">
        <v>0.43278935185185186</v>
      </c>
      <c r="W130">
        <f>+IF(SUMIFS(Data_Long_Form!$D:$D,Data_Long_Form!$C:$C,Data_Pivot_Table!$V130,Data_Long_Form!$A:$A,Data_Pivot_Table!W$4)=0,"",SUMIFS(Data_Long_Form!$D:$D,Data_Long_Form!$C:$C,Data_Pivot_Table!$V130,Data_Long_Form!$A:$A,Data_Pivot_Table!W$4))</f>
        <v>282.21553679566881</v>
      </c>
      <c r="X130">
        <f>+IF(SUMIFS(Data_Long_Form!$D:$D,Data_Long_Form!$C:$C,Data_Pivot_Table!$V130,Data_Long_Form!$A:$A,Data_Pivot_Table!X$4)=0,"",SUMIFS(Data_Long_Form!$D:$D,Data_Long_Form!$C:$C,Data_Pivot_Table!$V130,Data_Long_Form!$A:$A,Data_Pivot_Table!X$4))</f>
        <v>374.90592511918442</v>
      </c>
      <c r="Y130">
        <f>+IF(SUMIFS(Data_Long_Form!$D:$D,Data_Long_Form!$C:$C,Data_Pivot_Table!$V130,Data_Long_Form!$A:$A,Data_Pivot_Table!Y$4)=0,"",SUMIFS(Data_Long_Form!$D:$D,Data_Long_Form!$C:$C,Data_Pivot_Table!$V130,Data_Long_Form!$A:$A,Data_Pivot_Table!Y$4))</f>
        <v>211.72628971285363</v>
      </c>
      <c r="Z130">
        <f>+IF(SUMIFS(Data_Long_Form!$D:$D,Data_Long_Form!$C:$C,Data_Pivot_Table!$V130,Data_Long_Form!$A:$A,Data_Pivot_Table!Z$4)=0,"",SUMIFS(Data_Long_Form!$D:$D,Data_Long_Form!$C:$C,Data_Pivot_Table!$V130,Data_Long_Form!$A:$A,Data_Pivot_Table!Z$4))</f>
        <v>397.81874835281127</v>
      </c>
      <c r="AA130" t="str">
        <f>+IF(SUMIFS(Data_Long_Form!$D:$D,Data_Long_Form!$C:$C,Data_Pivot_Table!$V130,Data_Long_Form!$A:$A,Data_Pivot_Table!AA$4)=0,"",SUMIFS(Data_Long_Form!$D:$D,Data_Long_Form!$C:$C,Data_Pivot_Table!$V130,Data_Long_Form!$A:$A,Data_Pivot_Table!AA$4))</f>
        <v/>
      </c>
      <c r="AB130" t="str">
        <f>+IF(SUMIFS(Data_Long_Form!$D:$D,Data_Long_Form!$C:$C,Data_Pivot_Table!$V130,Data_Long_Form!$A:$A,Data_Pivot_Table!AB$4)=0,"",SUMIFS(Data_Long_Form!$D:$D,Data_Long_Form!$C:$C,Data_Pivot_Table!$V130,Data_Long_Form!$A:$A,Data_Pivot_Table!AB$4))</f>
        <v/>
      </c>
      <c r="AC130">
        <f>+IF(SUMIFS(Data_Long_Form!$D:$D,Data_Long_Form!$C:$C,Data_Pivot_Table!$V130,Data_Long_Form!$A:$A,Data_Pivot_Table!AC$4)=0,"",SUMIFS(Data_Long_Form!$D:$D,Data_Long_Form!$C:$C,Data_Pivot_Table!$V130,Data_Long_Form!$A:$A,Data_Pivot_Table!AC$4))</f>
        <v>358.6250561556555</v>
      </c>
    </row>
    <row r="131" spans="1:29" x14ac:dyDescent="0.2">
      <c r="A131" s="5">
        <v>0.43280092592592595</v>
      </c>
      <c r="B131" s="4">
        <v>1</v>
      </c>
      <c r="C131" s="4"/>
      <c r="D131" s="4"/>
      <c r="E131" s="4">
        <v>1</v>
      </c>
      <c r="F131" s="4">
        <v>1</v>
      </c>
      <c r="G131" s="4">
        <v>1</v>
      </c>
      <c r="H131" s="4">
        <v>1</v>
      </c>
      <c r="I131" s="4">
        <v>5</v>
      </c>
      <c r="J131" s="4"/>
      <c r="K131">
        <v>0.43280092592592595</v>
      </c>
      <c r="L131">
        <v>1</v>
      </c>
      <c r="M131">
        <v>1</v>
      </c>
      <c r="N131">
        <v>1</v>
      </c>
      <c r="O131">
        <v>1</v>
      </c>
      <c r="R131">
        <v>1</v>
      </c>
      <c r="S131">
        <v>5</v>
      </c>
      <c r="V131" s="8">
        <v>0.43280092592592595</v>
      </c>
      <c r="W131">
        <f>+IF(SUMIFS(Data_Long_Form!$D:$D,Data_Long_Form!$C:$C,Data_Pivot_Table!$V131,Data_Long_Form!$A:$A,Data_Pivot_Table!W$4)=0,"",SUMIFS(Data_Long_Form!$D:$D,Data_Long_Form!$C:$C,Data_Pivot_Table!$V131,Data_Long_Form!$A:$A,Data_Pivot_Table!W$4))</f>
        <v>272.73253672462113</v>
      </c>
      <c r="X131">
        <f>+IF(SUMIFS(Data_Long_Form!$D:$D,Data_Long_Form!$C:$C,Data_Pivot_Table!$V131,Data_Long_Form!$A:$A,Data_Pivot_Table!X$4)=0,"",SUMIFS(Data_Long_Form!$D:$D,Data_Long_Form!$C:$C,Data_Pivot_Table!$V131,Data_Long_Form!$A:$A,Data_Pivot_Table!X$4))</f>
        <v>378.08854563589057</v>
      </c>
      <c r="Y131">
        <f>+IF(SUMIFS(Data_Long_Form!$D:$D,Data_Long_Form!$C:$C,Data_Pivot_Table!$V131,Data_Long_Form!$A:$A,Data_Pivot_Table!Y$4)=0,"",SUMIFS(Data_Long_Form!$D:$D,Data_Long_Form!$C:$C,Data_Pivot_Table!$V131,Data_Long_Form!$A:$A,Data_Pivot_Table!Y$4))</f>
        <v>186.45273393761076</v>
      </c>
      <c r="Z131">
        <f>+IF(SUMIFS(Data_Long_Form!$D:$D,Data_Long_Form!$C:$C,Data_Pivot_Table!$V131,Data_Long_Form!$A:$A,Data_Pivot_Table!Z$4)=0,"",SUMIFS(Data_Long_Form!$D:$D,Data_Long_Form!$C:$C,Data_Pivot_Table!$V131,Data_Long_Form!$A:$A,Data_Pivot_Table!Z$4))</f>
        <v>385.31000920260823</v>
      </c>
      <c r="AA131" t="str">
        <f>+IF(SUMIFS(Data_Long_Form!$D:$D,Data_Long_Form!$C:$C,Data_Pivot_Table!$V131,Data_Long_Form!$A:$A,Data_Pivot_Table!AA$4)=0,"",SUMIFS(Data_Long_Form!$D:$D,Data_Long_Form!$C:$C,Data_Pivot_Table!$V131,Data_Long_Form!$A:$A,Data_Pivot_Table!AA$4))</f>
        <v/>
      </c>
      <c r="AB131" t="str">
        <f>+IF(SUMIFS(Data_Long_Form!$D:$D,Data_Long_Form!$C:$C,Data_Pivot_Table!$V131,Data_Long_Form!$A:$A,Data_Pivot_Table!AB$4)=0,"",SUMIFS(Data_Long_Form!$D:$D,Data_Long_Form!$C:$C,Data_Pivot_Table!$V131,Data_Long_Form!$A:$A,Data_Pivot_Table!AB$4))</f>
        <v/>
      </c>
      <c r="AC131">
        <f>+IF(SUMIFS(Data_Long_Form!$D:$D,Data_Long_Form!$C:$C,Data_Pivot_Table!$V131,Data_Long_Form!$A:$A,Data_Pivot_Table!AC$4)=0,"",SUMIFS(Data_Long_Form!$D:$D,Data_Long_Form!$C:$C,Data_Pivot_Table!$V131,Data_Long_Form!$A:$A,Data_Pivot_Table!AC$4))</f>
        <v>360.97124396655693</v>
      </c>
    </row>
    <row r="132" spans="1:29" x14ac:dyDescent="0.2">
      <c r="A132" s="5">
        <v>0.43281249999999999</v>
      </c>
      <c r="B132" s="4">
        <v>1</v>
      </c>
      <c r="C132" s="4"/>
      <c r="D132" s="4"/>
      <c r="E132" s="4">
        <v>1</v>
      </c>
      <c r="F132" s="4">
        <v>1</v>
      </c>
      <c r="G132" s="4">
        <v>1</v>
      </c>
      <c r="H132" s="4">
        <v>1</v>
      </c>
      <c r="I132" s="4">
        <v>5</v>
      </c>
      <c r="J132" s="4"/>
      <c r="K132">
        <v>0.43281249999999999</v>
      </c>
      <c r="L132">
        <v>1</v>
      </c>
      <c r="M132">
        <v>1</v>
      </c>
      <c r="N132">
        <v>1</v>
      </c>
      <c r="O132">
        <v>1</v>
      </c>
      <c r="R132">
        <v>1</v>
      </c>
      <c r="S132">
        <v>5</v>
      </c>
      <c r="V132" s="8">
        <v>0.43281249999999999</v>
      </c>
      <c r="W132">
        <f>+IF(SUMIFS(Data_Long_Form!$D:$D,Data_Long_Form!$C:$C,Data_Pivot_Table!$V132,Data_Long_Form!$A:$A,Data_Pivot_Table!W$4)=0,"",SUMIFS(Data_Long_Form!$D:$D,Data_Long_Form!$C:$C,Data_Pivot_Table!$V132,Data_Long_Form!$A:$A,Data_Pivot_Table!W$4))</f>
        <v>295.50644762865784</v>
      </c>
      <c r="X132">
        <f>+IF(SUMIFS(Data_Long_Form!$D:$D,Data_Long_Form!$C:$C,Data_Pivot_Table!$V132,Data_Long_Form!$A:$A,Data_Pivot_Table!X$4)=0,"",SUMIFS(Data_Long_Form!$D:$D,Data_Long_Form!$C:$C,Data_Pivot_Table!$V132,Data_Long_Form!$A:$A,Data_Pivot_Table!X$4))</f>
        <v>371.47246420595758</v>
      </c>
      <c r="Y132">
        <f>+IF(SUMIFS(Data_Long_Form!$D:$D,Data_Long_Form!$C:$C,Data_Pivot_Table!$V132,Data_Long_Form!$A:$A,Data_Pivot_Table!Y$4)=0,"",SUMIFS(Data_Long_Form!$D:$D,Data_Long_Form!$C:$C,Data_Pivot_Table!$V132,Data_Long_Form!$A:$A,Data_Pivot_Table!Y$4))</f>
        <v>185.55708712066615</v>
      </c>
      <c r="Z132">
        <f>+IF(SUMIFS(Data_Long_Form!$D:$D,Data_Long_Form!$C:$C,Data_Pivot_Table!$V132,Data_Long_Form!$A:$A,Data_Pivot_Table!Z$4)=0,"",SUMIFS(Data_Long_Form!$D:$D,Data_Long_Form!$C:$C,Data_Pivot_Table!$V132,Data_Long_Form!$A:$A,Data_Pivot_Table!Z$4))</f>
        <v>385.01682100480326</v>
      </c>
      <c r="AA132" t="str">
        <f>+IF(SUMIFS(Data_Long_Form!$D:$D,Data_Long_Form!$C:$C,Data_Pivot_Table!$V132,Data_Long_Form!$A:$A,Data_Pivot_Table!AA$4)=0,"",SUMIFS(Data_Long_Form!$D:$D,Data_Long_Form!$C:$C,Data_Pivot_Table!$V132,Data_Long_Form!$A:$A,Data_Pivot_Table!AA$4))</f>
        <v/>
      </c>
      <c r="AB132" t="str">
        <f>+IF(SUMIFS(Data_Long_Form!$D:$D,Data_Long_Form!$C:$C,Data_Pivot_Table!$V132,Data_Long_Form!$A:$A,Data_Pivot_Table!AB$4)=0,"",SUMIFS(Data_Long_Form!$D:$D,Data_Long_Form!$C:$C,Data_Pivot_Table!$V132,Data_Long_Form!$A:$A,Data_Pivot_Table!AB$4))</f>
        <v/>
      </c>
      <c r="AC132">
        <f>+IF(SUMIFS(Data_Long_Form!$D:$D,Data_Long_Form!$C:$C,Data_Pivot_Table!$V132,Data_Long_Form!$A:$A,Data_Pivot_Table!AC$4)=0,"",SUMIFS(Data_Long_Form!$D:$D,Data_Long_Form!$C:$C,Data_Pivot_Table!$V132,Data_Long_Form!$A:$A,Data_Pivot_Table!AC$4))</f>
        <v>371.14106686019602</v>
      </c>
    </row>
    <row r="133" spans="1:29" x14ac:dyDescent="0.2">
      <c r="A133" s="5">
        <v>0.43282407407407408</v>
      </c>
      <c r="B133" s="4">
        <v>1</v>
      </c>
      <c r="C133" s="4"/>
      <c r="D133" s="4"/>
      <c r="E133" s="4">
        <v>1</v>
      </c>
      <c r="F133" s="4">
        <v>1</v>
      </c>
      <c r="G133" s="4">
        <v>1</v>
      </c>
      <c r="H133" s="4">
        <v>1</v>
      </c>
      <c r="I133" s="4">
        <v>5</v>
      </c>
      <c r="J133" s="4"/>
      <c r="K133">
        <v>0.43282407407407408</v>
      </c>
      <c r="L133">
        <v>1</v>
      </c>
      <c r="M133">
        <v>1</v>
      </c>
      <c r="N133">
        <v>1</v>
      </c>
      <c r="O133">
        <v>1</v>
      </c>
      <c r="R133">
        <v>1</v>
      </c>
      <c r="S133">
        <v>5</v>
      </c>
      <c r="V133" s="8">
        <v>0.43282407407407408</v>
      </c>
      <c r="W133">
        <f>+IF(SUMIFS(Data_Long_Form!$D:$D,Data_Long_Form!$C:$C,Data_Pivot_Table!$V133,Data_Long_Form!$A:$A,Data_Pivot_Table!W$4)=0,"",SUMIFS(Data_Long_Form!$D:$D,Data_Long_Form!$C:$C,Data_Pivot_Table!$V133,Data_Long_Form!$A:$A,Data_Pivot_Table!W$4))</f>
        <v>303.79727523586041</v>
      </c>
      <c r="X133">
        <f>+IF(SUMIFS(Data_Long_Form!$D:$D,Data_Long_Form!$C:$C,Data_Pivot_Table!$V133,Data_Long_Form!$A:$A,Data_Pivot_Table!X$4)=0,"",SUMIFS(Data_Long_Form!$D:$D,Data_Long_Form!$C:$C,Data_Pivot_Table!$V133,Data_Long_Form!$A:$A,Data_Pivot_Table!X$4))</f>
        <v>368.7102539770824</v>
      </c>
      <c r="Y133">
        <f>+IF(SUMIFS(Data_Long_Form!$D:$D,Data_Long_Form!$C:$C,Data_Pivot_Table!$V133,Data_Long_Form!$A:$A,Data_Pivot_Table!Y$4)=0,"",SUMIFS(Data_Long_Form!$D:$D,Data_Long_Form!$C:$C,Data_Pivot_Table!$V133,Data_Long_Form!$A:$A,Data_Pivot_Table!Y$4))</f>
        <v>215.15215535060258</v>
      </c>
      <c r="Z133">
        <f>+IF(SUMIFS(Data_Long_Form!$D:$D,Data_Long_Form!$C:$C,Data_Pivot_Table!$V133,Data_Long_Form!$A:$A,Data_Pivot_Table!Z$4)=0,"",SUMIFS(Data_Long_Form!$D:$D,Data_Long_Form!$C:$C,Data_Pivot_Table!$V133,Data_Long_Form!$A:$A,Data_Pivot_Table!Z$4))</f>
        <v>349.16205391245353</v>
      </c>
      <c r="AA133" t="str">
        <f>+IF(SUMIFS(Data_Long_Form!$D:$D,Data_Long_Form!$C:$C,Data_Pivot_Table!$V133,Data_Long_Form!$A:$A,Data_Pivot_Table!AA$4)=0,"",SUMIFS(Data_Long_Form!$D:$D,Data_Long_Form!$C:$C,Data_Pivot_Table!$V133,Data_Long_Form!$A:$A,Data_Pivot_Table!AA$4))</f>
        <v/>
      </c>
      <c r="AB133" t="str">
        <f>+IF(SUMIFS(Data_Long_Form!$D:$D,Data_Long_Form!$C:$C,Data_Pivot_Table!$V133,Data_Long_Form!$A:$A,Data_Pivot_Table!AB$4)=0,"",SUMIFS(Data_Long_Form!$D:$D,Data_Long_Form!$C:$C,Data_Pivot_Table!$V133,Data_Long_Form!$A:$A,Data_Pivot_Table!AB$4))</f>
        <v/>
      </c>
      <c r="AC133">
        <f>+IF(SUMIFS(Data_Long_Form!$D:$D,Data_Long_Form!$C:$C,Data_Pivot_Table!$V133,Data_Long_Form!$A:$A,Data_Pivot_Table!AC$4)=0,"",SUMIFS(Data_Long_Form!$D:$D,Data_Long_Form!$C:$C,Data_Pivot_Table!$V133,Data_Long_Form!$A:$A,Data_Pivot_Table!AC$4))</f>
        <v>328.55243439752331</v>
      </c>
    </row>
    <row r="134" spans="1:29" x14ac:dyDescent="0.2">
      <c r="A134" s="5">
        <v>0.43283564814814812</v>
      </c>
      <c r="B134" s="4">
        <v>1</v>
      </c>
      <c r="C134" s="4"/>
      <c r="D134" s="4"/>
      <c r="E134" s="4">
        <v>1</v>
      </c>
      <c r="F134" s="4">
        <v>1</v>
      </c>
      <c r="G134" s="4">
        <v>1</v>
      </c>
      <c r="H134" s="4">
        <v>1</v>
      </c>
      <c r="I134" s="4">
        <v>5</v>
      </c>
      <c r="J134" s="4"/>
      <c r="K134">
        <v>0.43283564814814812</v>
      </c>
      <c r="L134">
        <v>1</v>
      </c>
      <c r="M134">
        <v>1</v>
      </c>
      <c r="N134">
        <v>1</v>
      </c>
      <c r="O134">
        <v>1</v>
      </c>
      <c r="R134">
        <v>1</v>
      </c>
      <c r="S134">
        <v>5</v>
      </c>
      <c r="V134" s="8">
        <v>0.43283564814814812</v>
      </c>
      <c r="W134">
        <f>+IF(SUMIFS(Data_Long_Form!$D:$D,Data_Long_Form!$C:$C,Data_Pivot_Table!$V134,Data_Long_Form!$A:$A,Data_Pivot_Table!W$4)=0,"",SUMIFS(Data_Long_Form!$D:$D,Data_Long_Form!$C:$C,Data_Pivot_Table!$V134,Data_Long_Form!$A:$A,Data_Pivot_Table!W$4))</f>
        <v>288.66833154184428</v>
      </c>
      <c r="X134">
        <f>+IF(SUMIFS(Data_Long_Form!$D:$D,Data_Long_Form!$C:$C,Data_Pivot_Table!$V134,Data_Long_Form!$A:$A,Data_Pivot_Table!X$4)=0,"",SUMIFS(Data_Long_Form!$D:$D,Data_Long_Form!$C:$C,Data_Pivot_Table!$V134,Data_Long_Form!$A:$A,Data_Pivot_Table!X$4))</f>
        <v>369.72551875915957</v>
      </c>
      <c r="Y134">
        <f>+IF(SUMIFS(Data_Long_Form!$D:$D,Data_Long_Form!$C:$C,Data_Pivot_Table!$V134,Data_Long_Form!$A:$A,Data_Pivot_Table!Y$4)=0,"",SUMIFS(Data_Long_Form!$D:$D,Data_Long_Form!$C:$C,Data_Pivot_Table!$V134,Data_Long_Form!$A:$A,Data_Pivot_Table!Y$4))</f>
        <v>194.91404310176185</v>
      </c>
      <c r="Z134">
        <f>+IF(SUMIFS(Data_Long_Form!$D:$D,Data_Long_Form!$C:$C,Data_Pivot_Table!$V134,Data_Long_Form!$A:$A,Data_Pivot_Table!Z$4)=0,"",SUMIFS(Data_Long_Form!$D:$D,Data_Long_Form!$C:$C,Data_Pivot_Table!$V134,Data_Long_Form!$A:$A,Data_Pivot_Table!Z$4))</f>
        <v>354.41969689992544</v>
      </c>
      <c r="AA134" t="str">
        <f>+IF(SUMIFS(Data_Long_Form!$D:$D,Data_Long_Form!$C:$C,Data_Pivot_Table!$V134,Data_Long_Form!$A:$A,Data_Pivot_Table!AA$4)=0,"",SUMIFS(Data_Long_Form!$D:$D,Data_Long_Form!$C:$C,Data_Pivot_Table!$V134,Data_Long_Form!$A:$A,Data_Pivot_Table!AA$4))</f>
        <v/>
      </c>
      <c r="AB134" t="str">
        <f>+IF(SUMIFS(Data_Long_Form!$D:$D,Data_Long_Form!$C:$C,Data_Pivot_Table!$V134,Data_Long_Form!$A:$A,Data_Pivot_Table!AB$4)=0,"",SUMIFS(Data_Long_Form!$D:$D,Data_Long_Form!$C:$C,Data_Pivot_Table!$V134,Data_Long_Form!$A:$A,Data_Pivot_Table!AB$4))</f>
        <v/>
      </c>
      <c r="AC134">
        <f>+IF(SUMIFS(Data_Long_Form!$D:$D,Data_Long_Form!$C:$C,Data_Pivot_Table!$V134,Data_Long_Form!$A:$A,Data_Pivot_Table!AC$4)=0,"",SUMIFS(Data_Long_Form!$D:$D,Data_Long_Form!$C:$C,Data_Pivot_Table!$V134,Data_Long_Form!$A:$A,Data_Pivot_Table!AC$4))</f>
        <v>343.8632259765821</v>
      </c>
    </row>
    <row r="135" spans="1:29" x14ac:dyDescent="0.2">
      <c r="A135" s="5">
        <v>0.43284722222222222</v>
      </c>
      <c r="B135" s="4">
        <v>1</v>
      </c>
      <c r="C135" s="4"/>
      <c r="D135" s="4"/>
      <c r="E135" s="4"/>
      <c r="F135" s="4">
        <v>1</v>
      </c>
      <c r="G135" s="4">
        <v>1</v>
      </c>
      <c r="H135" s="4">
        <v>1</v>
      </c>
      <c r="I135" s="4">
        <v>4</v>
      </c>
      <c r="J135" s="4"/>
      <c r="K135">
        <v>0.43284722222222222</v>
      </c>
      <c r="L135">
        <v>1</v>
      </c>
      <c r="M135">
        <v>1</v>
      </c>
      <c r="N135">
        <v>1</v>
      </c>
      <c r="O135">
        <v>1</v>
      </c>
      <c r="S135">
        <v>4</v>
      </c>
      <c r="V135" s="8">
        <v>0.43284722222222222</v>
      </c>
      <c r="W135">
        <f>+IF(SUMIFS(Data_Long_Form!$D:$D,Data_Long_Form!$C:$C,Data_Pivot_Table!$V135,Data_Long_Form!$A:$A,Data_Pivot_Table!W$4)=0,"",SUMIFS(Data_Long_Form!$D:$D,Data_Long_Form!$C:$C,Data_Pivot_Table!$V135,Data_Long_Form!$A:$A,Data_Pivot_Table!W$4))</f>
        <v>298.95302076470585</v>
      </c>
      <c r="X135">
        <f>+IF(SUMIFS(Data_Long_Form!$D:$D,Data_Long_Form!$C:$C,Data_Pivot_Table!$V135,Data_Long_Form!$A:$A,Data_Pivot_Table!X$4)=0,"",SUMIFS(Data_Long_Form!$D:$D,Data_Long_Form!$C:$C,Data_Pivot_Table!$V135,Data_Long_Form!$A:$A,Data_Pivot_Table!X$4))</f>
        <v>364.14871129111179</v>
      </c>
      <c r="Y135">
        <f>+IF(SUMIFS(Data_Long_Form!$D:$D,Data_Long_Form!$C:$C,Data_Pivot_Table!$V135,Data_Long_Form!$A:$A,Data_Pivot_Table!Y$4)=0,"",SUMIFS(Data_Long_Form!$D:$D,Data_Long_Form!$C:$C,Data_Pivot_Table!$V135,Data_Long_Form!$A:$A,Data_Pivot_Table!Y$4))</f>
        <v>206.71900576013999</v>
      </c>
      <c r="Z135">
        <f>+IF(SUMIFS(Data_Long_Form!$D:$D,Data_Long_Form!$C:$C,Data_Pivot_Table!$V135,Data_Long_Form!$A:$A,Data_Pivot_Table!Z$4)=0,"",SUMIFS(Data_Long_Form!$D:$D,Data_Long_Form!$C:$C,Data_Pivot_Table!$V135,Data_Long_Form!$A:$A,Data_Pivot_Table!Z$4))</f>
        <v>371.50949830397457</v>
      </c>
      <c r="AA135" t="str">
        <f>+IF(SUMIFS(Data_Long_Form!$D:$D,Data_Long_Form!$C:$C,Data_Pivot_Table!$V135,Data_Long_Form!$A:$A,Data_Pivot_Table!AA$4)=0,"",SUMIFS(Data_Long_Form!$D:$D,Data_Long_Form!$C:$C,Data_Pivot_Table!$V135,Data_Long_Form!$A:$A,Data_Pivot_Table!AA$4))</f>
        <v/>
      </c>
      <c r="AB135" t="str">
        <f>+IF(SUMIFS(Data_Long_Form!$D:$D,Data_Long_Form!$C:$C,Data_Pivot_Table!$V135,Data_Long_Form!$A:$A,Data_Pivot_Table!AB$4)=0,"",SUMIFS(Data_Long_Form!$D:$D,Data_Long_Form!$C:$C,Data_Pivot_Table!$V135,Data_Long_Form!$A:$A,Data_Pivot_Table!AB$4))</f>
        <v/>
      </c>
      <c r="AC135" t="str">
        <f>+IF(SUMIFS(Data_Long_Form!$D:$D,Data_Long_Form!$C:$C,Data_Pivot_Table!$V135,Data_Long_Form!$A:$A,Data_Pivot_Table!AC$4)=0,"",SUMIFS(Data_Long_Form!$D:$D,Data_Long_Form!$C:$C,Data_Pivot_Table!$V135,Data_Long_Form!$A:$A,Data_Pivot_Table!AC$4))</f>
        <v/>
      </c>
    </row>
    <row r="136" spans="1:29" x14ac:dyDescent="0.2">
      <c r="A136" s="5">
        <v>0.43285879629629631</v>
      </c>
      <c r="B136" s="4"/>
      <c r="C136" s="4"/>
      <c r="D136" s="4"/>
      <c r="E136" s="4"/>
      <c r="F136" s="4">
        <v>1</v>
      </c>
      <c r="G136" s="4">
        <v>1</v>
      </c>
      <c r="H136" s="4">
        <v>1</v>
      </c>
      <c r="I136" s="4">
        <v>3</v>
      </c>
      <c r="J136" s="4"/>
      <c r="K136">
        <v>0.43285879629629631</v>
      </c>
      <c r="L136">
        <v>1</v>
      </c>
      <c r="M136">
        <v>1</v>
      </c>
      <c r="N136">
        <v>1</v>
      </c>
      <c r="S136">
        <v>3</v>
      </c>
      <c r="V136" s="8">
        <v>0.43285879629629631</v>
      </c>
      <c r="W136">
        <f>+IF(SUMIFS(Data_Long_Form!$D:$D,Data_Long_Form!$C:$C,Data_Pivot_Table!$V136,Data_Long_Form!$A:$A,Data_Pivot_Table!W$4)=0,"",SUMIFS(Data_Long_Form!$D:$D,Data_Long_Form!$C:$C,Data_Pivot_Table!$V136,Data_Long_Form!$A:$A,Data_Pivot_Table!W$4))</f>
        <v>300.12986794296074</v>
      </c>
      <c r="X136">
        <f>+IF(SUMIFS(Data_Long_Form!$D:$D,Data_Long_Form!$C:$C,Data_Pivot_Table!$V136,Data_Long_Form!$A:$A,Data_Pivot_Table!X$4)=0,"",SUMIFS(Data_Long_Form!$D:$D,Data_Long_Form!$C:$C,Data_Pivot_Table!$V136,Data_Long_Form!$A:$A,Data_Pivot_Table!X$4))</f>
        <v>372.94395255350997</v>
      </c>
      <c r="Y136">
        <f>+IF(SUMIFS(Data_Long_Form!$D:$D,Data_Long_Form!$C:$C,Data_Pivot_Table!$V136,Data_Long_Form!$A:$A,Data_Pivot_Table!Y$4)=0,"",SUMIFS(Data_Long_Form!$D:$D,Data_Long_Form!$C:$C,Data_Pivot_Table!$V136,Data_Long_Form!$A:$A,Data_Pivot_Table!Y$4))</f>
        <v>216.40721793993518</v>
      </c>
      <c r="Z136" t="str">
        <f>+IF(SUMIFS(Data_Long_Form!$D:$D,Data_Long_Form!$C:$C,Data_Pivot_Table!$V136,Data_Long_Form!$A:$A,Data_Pivot_Table!Z$4)=0,"",SUMIFS(Data_Long_Form!$D:$D,Data_Long_Form!$C:$C,Data_Pivot_Table!$V136,Data_Long_Form!$A:$A,Data_Pivot_Table!Z$4))</f>
        <v/>
      </c>
      <c r="AA136" t="str">
        <f>+IF(SUMIFS(Data_Long_Form!$D:$D,Data_Long_Form!$C:$C,Data_Pivot_Table!$V136,Data_Long_Form!$A:$A,Data_Pivot_Table!AA$4)=0,"",SUMIFS(Data_Long_Form!$D:$D,Data_Long_Form!$C:$C,Data_Pivot_Table!$V136,Data_Long_Form!$A:$A,Data_Pivot_Table!AA$4))</f>
        <v/>
      </c>
      <c r="AB136" t="str">
        <f>+IF(SUMIFS(Data_Long_Form!$D:$D,Data_Long_Form!$C:$C,Data_Pivot_Table!$V136,Data_Long_Form!$A:$A,Data_Pivot_Table!AB$4)=0,"",SUMIFS(Data_Long_Form!$D:$D,Data_Long_Form!$C:$C,Data_Pivot_Table!$V136,Data_Long_Form!$A:$A,Data_Pivot_Table!AB$4))</f>
        <v/>
      </c>
      <c r="AC136" t="str">
        <f>+IF(SUMIFS(Data_Long_Form!$D:$D,Data_Long_Form!$C:$C,Data_Pivot_Table!$V136,Data_Long_Form!$A:$A,Data_Pivot_Table!AC$4)=0,"",SUMIFS(Data_Long_Form!$D:$D,Data_Long_Form!$C:$C,Data_Pivot_Table!$V136,Data_Long_Form!$A:$A,Data_Pivot_Table!AC$4))</f>
        <v/>
      </c>
    </row>
    <row r="137" spans="1:29" x14ac:dyDescent="0.2">
      <c r="A137" s="5">
        <v>0.43287037037037035</v>
      </c>
      <c r="B137" s="4">
        <v>1</v>
      </c>
      <c r="C137" s="4"/>
      <c r="D137" s="4"/>
      <c r="E137" s="4"/>
      <c r="F137" s="4">
        <v>1</v>
      </c>
      <c r="G137" s="4">
        <v>1</v>
      </c>
      <c r="H137" s="4">
        <v>1</v>
      </c>
      <c r="I137" s="4">
        <v>4</v>
      </c>
      <c r="J137" s="4"/>
      <c r="K137">
        <v>0.43287037037037035</v>
      </c>
      <c r="L137">
        <v>1</v>
      </c>
      <c r="M137">
        <v>1</v>
      </c>
      <c r="N137">
        <v>1</v>
      </c>
      <c r="O137">
        <v>1</v>
      </c>
      <c r="S137">
        <v>4</v>
      </c>
      <c r="V137" s="8">
        <v>0.43287037037037035</v>
      </c>
      <c r="W137">
        <f>+IF(SUMIFS(Data_Long_Form!$D:$D,Data_Long_Form!$C:$C,Data_Pivot_Table!$V137,Data_Long_Form!$A:$A,Data_Pivot_Table!W$4)=0,"",SUMIFS(Data_Long_Form!$D:$D,Data_Long_Form!$C:$C,Data_Pivot_Table!$V137,Data_Long_Form!$A:$A,Data_Pivot_Table!W$4))</f>
        <v>307.37052809716886</v>
      </c>
      <c r="X137">
        <f>+IF(SUMIFS(Data_Long_Form!$D:$D,Data_Long_Form!$C:$C,Data_Pivot_Table!$V137,Data_Long_Form!$A:$A,Data_Pivot_Table!X$4)=0,"",SUMIFS(Data_Long_Form!$D:$D,Data_Long_Form!$C:$C,Data_Pivot_Table!$V137,Data_Long_Form!$A:$A,Data_Pivot_Table!X$4))</f>
        <v>376.41094728690251</v>
      </c>
      <c r="Y137">
        <f>+IF(SUMIFS(Data_Long_Form!$D:$D,Data_Long_Form!$C:$C,Data_Pivot_Table!$V137,Data_Long_Form!$A:$A,Data_Pivot_Table!Y$4)=0,"",SUMIFS(Data_Long_Form!$D:$D,Data_Long_Form!$C:$C,Data_Pivot_Table!$V137,Data_Long_Form!$A:$A,Data_Pivot_Table!Y$4))</f>
        <v>217.55629287528632</v>
      </c>
      <c r="Z137">
        <f>+IF(SUMIFS(Data_Long_Form!$D:$D,Data_Long_Form!$C:$C,Data_Pivot_Table!$V137,Data_Long_Form!$A:$A,Data_Pivot_Table!Z$4)=0,"",SUMIFS(Data_Long_Form!$D:$D,Data_Long_Form!$C:$C,Data_Pivot_Table!$V137,Data_Long_Form!$A:$A,Data_Pivot_Table!Z$4))</f>
        <v>353.40911223610289</v>
      </c>
      <c r="AA137" t="str">
        <f>+IF(SUMIFS(Data_Long_Form!$D:$D,Data_Long_Form!$C:$C,Data_Pivot_Table!$V137,Data_Long_Form!$A:$A,Data_Pivot_Table!AA$4)=0,"",SUMIFS(Data_Long_Form!$D:$D,Data_Long_Form!$C:$C,Data_Pivot_Table!$V137,Data_Long_Form!$A:$A,Data_Pivot_Table!AA$4))</f>
        <v/>
      </c>
      <c r="AB137" t="str">
        <f>+IF(SUMIFS(Data_Long_Form!$D:$D,Data_Long_Form!$C:$C,Data_Pivot_Table!$V137,Data_Long_Form!$A:$A,Data_Pivot_Table!AB$4)=0,"",SUMIFS(Data_Long_Form!$D:$D,Data_Long_Form!$C:$C,Data_Pivot_Table!$V137,Data_Long_Form!$A:$A,Data_Pivot_Table!AB$4))</f>
        <v/>
      </c>
      <c r="AC137" t="str">
        <f>+IF(SUMIFS(Data_Long_Form!$D:$D,Data_Long_Form!$C:$C,Data_Pivot_Table!$V137,Data_Long_Form!$A:$A,Data_Pivot_Table!AC$4)=0,"",SUMIFS(Data_Long_Form!$D:$D,Data_Long_Form!$C:$C,Data_Pivot_Table!$V137,Data_Long_Form!$A:$A,Data_Pivot_Table!AC$4))</f>
        <v/>
      </c>
    </row>
    <row r="138" spans="1:29" x14ac:dyDescent="0.2">
      <c r="A138" s="5">
        <v>0.43288194444444444</v>
      </c>
      <c r="B138" s="4">
        <v>1</v>
      </c>
      <c r="C138" s="4"/>
      <c r="D138" s="4"/>
      <c r="E138" s="4">
        <v>1</v>
      </c>
      <c r="F138" s="4">
        <v>1</v>
      </c>
      <c r="G138" s="4">
        <v>1</v>
      </c>
      <c r="H138" s="4">
        <v>1</v>
      </c>
      <c r="I138" s="4">
        <v>5</v>
      </c>
      <c r="J138" s="4"/>
      <c r="K138">
        <v>0.43288194444444444</v>
      </c>
      <c r="L138">
        <v>1</v>
      </c>
      <c r="M138">
        <v>1</v>
      </c>
      <c r="N138">
        <v>1</v>
      </c>
      <c r="O138">
        <v>1</v>
      </c>
      <c r="R138">
        <v>1</v>
      </c>
      <c r="S138">
        <v>5</v>
      </c>
      <c r="V138" s="8">
        <v>0.43288194444444444</v>
      </c>
      <c r="W138">
        <f>+IF(SUMIFS(Data_Long_Form!$D:$D,Data_Long_Form!$C:$C,Data_Pivot_Table!$V138,Data_Long_Form!$A:$A,Data_Pivot_Table!W$4)=0,"",SUMIFS(Data_Long_Form!$D:$D,Data_Long_Form!$C:$C,Data_Pivot_Table!$V138,Data_Long_Form!$A:$A,Data_Pivot_Table!W$4))</f>
        <v>306.59373400332152</v>
      </c>
      <c r="X138">
        <f>+IF(SUMIFS(Data_Long_Form!$D:$D,Data_Long_Form!$C:$C,Data_Pivot_Table!$V138,Data_Long_Form!$A:$A,Data_Pivot_Table!X$4)=0,"",SUMIFS(Data_Long_Form!$D:$D,Data_Long_Form!$C:$C,Data_Pivot_Table!$V138,Data_Long_Form!$A:$A,Data_Pivot_Table!X$4))</f>
        <v>369.02896406903193</v>
      </c>
      <c r="Y138">
        <f>+IF(SUMIFS(Data_Long_Form!$D:$D,Data_Long_Form!$C:$C,Data_Pivot_Table!$V138,Data_Long_Form!$A:$A,Data_Pivot_Table!Y$4)=0,"",SUMIFS(Data_Long_Form!$D:$D,Data_Long_Form!$C:$C,Data_Pivot_Table!$V138,Data_Long_Form!$A:$A,Data_Pivot_Table!Y$4))</f>
        <v>174.5395099770958</v>
      </c>
      <c r="Z138">
        <f>+IF(SUMIFS(Data_Long_Form!$D:$D,Data_Long_Form!$C:$C,Data_Pivot_Table!$V138,Data_Long_Form!$A:$A,Data_Pivot_Table!Z$4)=0,"",SUMIFS(Data_Long_Form!$D:$D,Data_Long_Form!$C:$C,Data_Pivot_Table!$V138,Data_Long_Form!$A:$A,Data_Pivot_Table!Z$4))</f>
        <v>381.88972020371756</v>
      </c>
      <c r="AA138" t="str">
        <f>+IF(SUMIFS(Data_Long_Form!$D:$D,Data_Long_Form!$C:$C,Data_Pivot_Table!$V138,Data_Long_Form!$A:$A,Data_Pivot_Table!AA$4)=0,"",SUMIFS(Data_Long_Form!$D:$D,Data_Long_Form!$C:$C,Data_Pivot_Table!$V138,Data_Long_Form!$A:$A,Data_Pivot_Table!AA$4))</f>
        <v/>
      </c>
      <c r="AB138" t="str">
        <f>+IF(SUMIFS(Data_Long_Form!$D:$D,Data_Long_Form!$C:$C,Data_Pivot_Table!$V138,Data_Long_Form!$A:$A,Data_Pivot_Table!AB$4)=0,"",SUMIFS(Data_Long_Form!$D:$D,Data_Long_Form!$C:$C,Data_Pivot_Table!$V138,Data_Long_Form!$A:$A,Data_Pivot_Table!AB$4))</f>
        <v/>
      </c>
      <c r="AC138">
        <f>+IF(SUMIFS(Data_Long_Form!$D:$D,Data_Long_Form!$C:$C,Data_Pivot_Table!$V138,Data_Long_Form!$A:$A,Data_Pivot_Table!AC$4)=0,"",SUMIFS(Data_Long_Form!$D:$D,Data_Long_Form!$C:$C,Data_Pivot_Table!$V138,Data_Long_Form!$A:$A,Data_Pivot_Table!AC$4))</f>
        <v>387.37225806715196</v>
      </c>
    </row>
    <row r="139" spans="1:29" x14ac:dyDescent="0.2">
      <c r="A139" s="5">
        <v>0.43289351851851854</v>
      </c>
      <c r="B139" s="4">
        <v>1</v>
      </c>
      <c r="C139" s="4"/>
      <c r="D139" s="4"/>
      <c r="E139" s="4">
        <v>1</v>
      </c>
      <c r="F139" s="4">
        <v>1</v>
      </c>
      <c r="G139" s="4">
        <v>1</v>
      </c>
      <c r="H139" s="4">
        <v>1</v>
      </c>
      <c r="I139" s="4">
        <v>5</v>
      </c>
      <c r="J139" s="4"/>
      <c r="K139">
        <v>0.43289351851851854</v>
      </c>
      <c r="L139">
        <v>1</v>
      </c>
      <c r="M139">
        <v>1</v>
      </c>
      <c r="N139">
        <v>1</v>
      </c>
      <c r="O139">
        <v>1</v>
      </c>
      <c r="R139">
        <v>1</v>
      </c>
      <c r="S139">
        <v>5</v>
      </c>
      <c r="V139" s="8">
        <v>0.43289351851851854</v>
      </c>
      <c r="W139">
        <f>+IF(SUMIFS(Data_Long_Form!$D:$D,Data_Long_Form!$C:$C,Data_Pivot_Table!$V139,Data_Long_Form!$A:$A,Data_Pivot_Table!W$4)=0,"",SUMIFS(Data_Long_Form!$D:$D,Data_Long_Form!$C:$C,Data_Pivot_Table!$V139,Data_Long_Form!$A:$A,Data_Pivot_Table!W$4))</f>
        <v>295.02342793069022</v>
      </c>
      <c r="X139">
        <f>+IF(SUMIFS(Data_Long_Form!$D:$D,Data_Long_Form!$C:$C,Data_Pivot_Table!$V139,Data_Long_Form!$A:$A,Data_Pivot_Table!X$4)=0,"",SUMIFS(Data_Long_Form!$D:$D,Data_Long_Form!$C:$C,Data_Pivot_Table!$V139,Data_Long_Form!$A:$A,Data_Pivot_Table!X$4))</f>
        <v>381.34341839341732</v>
      </c>
      <c r="Y139">
        <f>+IF(SUMIFS(Data_Long_Form!$D:$D,Data_Long_Form!$C:$C,Data_Pivot_Table!$V139,Data_Long_Form!$A:$A,Data_Pivot_Table!Y$4)=0,"",SUMIFS(Data_Long_Form!$D:$D,Data_Long_Form!$C:$C,Data_Pivot_Table!$V139,Data_Long_Form!$A:$A,Data_Pivot_Table!Y$4))</f>
        <v>160.78032730544317</v>
      </c>
      <c r="Z139">
        <f>+IF(SUMIFS(Data_Long_Form!$D:$D,Data_Long_Form!$C:$C,Data_Pivot_Table!$V139,Data_Long_Form!$A:$A,Data_Pivot_Table!Z$4)=0,"",SUMIFS(Data_Long_Form!$D:$D,Data_Long_Form!$C:$C,Data_Pivot_Table!$V139,Data_Long_Form!$A:$A,Data_Pivot_Table!Z$4))</f>
        <v>380.59036750162625</v>
      </c>
      <c r="AA139" t="str">
        <f>+IF(SUMIFS(Data_Long_Form!$D:$D,Data_Long_Form!$C:$C,Data_Pivot_Table!$V139,Data_Long_Form!$A:$A,Data_Pivot_Table!AA$4)=0,"",SUMIFS(Data_Long_Form!$D:$D,Data_Long_Form!$C:$C,Data_Pivot_Table!$V139,Data_Long_Form!$A:$A,Data_Pivot_Table!AA$4))</f>
        <v/>
      </c>
      <c r="AB139" t="str">
        <f>+IF(SUMIFS(Data_Long_Form!$D:$D,Data_Long_Form!$C:$C,Data_Pivot_Table!$V139,Data_Long_Form!$A:$A,Data_Pivot_Table!AB$4)=0,"",SUMIFS(Data_Long_Form!$D:$D,Data_Long_Form!$C:$C,Data_Pivot_Table!$V139,Data_Long_Form!$A:$A,Data_Pivot_Table!AB$4))</f>
        <v/>
      </c>
      <c r="AC139">
        <f>+IF(SUMIFS(Data_Long_Form!$D:$D,Data_Long_Form!$C:$C,Data_Pivot_Table!$V139,Data_Long_Form!$A:$A,Data_Pivot_Table!AC$4)=0,"",SUMIFS(Data_Long_Form!$D:$D,Data_Long_Form!$C:$C,Data_Pivot_Table!$V139,Data_Long_Form!$A:$A,Data_Pivot_Table!AC$4))</f>
        <v>361.95575322885287</v>
      </c>
    </row>
    <row r="140" spans="1:29" x14ac:dyDescent="0.2">
      <c r="A140" s="5">
        <v>0.43290509259259258</v>
      </c>
      <c r="B140" s="4">
        <v>1</v>
      </c>
      <c r="C140" s="4"/>
      <c r="D140" s="4"/>
      <c r="E140" s="4">
        <v>1</v>
      </c>
      <c r="F140" s="4">
        <v>1</v>
      </c>
      <c r="G140" s="4">
        <v>1</v>
      </c>
      <c r="H140" s="4">
        <v>1</v>
      </c>
      <c r="I140" s="4">
        <v>5</v>
      </c>
      <c r="J140" s="4"/>
      <c r="K140">
        <v>0.43290509259259258</v>
      </c>
      <c r="L140">
        <v>1</v>
      </c>
      <c r="M140">
        <v>1</v>
      </c>
      <c r="N140">
        <v>1</v>
      </c>
      <c r="O140">
        <v>1</v>
      </c>
      <c r="R140">
        <v>1</v>
      </c>
      <c r="S140">
        <v>5</v>
      </c>
      <c r="V140" s="8">
        <v>0.43290509259259258</v>
      </c>
      <c r="W140">
        <f>+IF(SUMIFS(Data_Long_Form!$D:$D,Data_Long_Form!$C:$C,Data_Pivot_Table!$V140,Data_Long_Form!$A:$A,Data_Pivot_Table!W$4)=0,"",SUMIFS(Data_Long_Form!$D:$D,Data_Long_Form!$C:$C,Data_Pivot_Table!$V140,Data_Long_Form!$A:$A,Data_Pivot_Table!W$4))</f>
        <v>278.25511469812693</v>
      </c>
      <c r="X140">
        <f>+IF(SUMIFS(Data_Long_Form!$D:$D,Data_Long_Form!$C:$C,Data_Pivot_Table!$V140,Data_Long_Form!$A:$A,Data_Pivot_Table!X$4)=0,"",SUMIFS(Data_Long_Form!$D:$D,Data_Long_Form!$C:$C,Data_Pivot_Table!$V140,Data_Long_Form!$A:$A,Data_Pivot_Table!X$4))</f>
        <v>385.7135953651516</v>
      </c>
      <c r="Y140">
        <f>+IF(SUMIFS(Data_Long_Form!$D:$D,Data_Long_Form!$C:$C,Data_Pivot_Table!$V140,Data_Long_Form!$A:$A,Data_Pivot_Table!Y$4)=0,"",SUMIFS(Data_Long_Form!$D:$D,Data_Long_Form!$C:$C,Data_Pivot_Table!$V140,Data_Long_Form!$A:$A,Data_Pivot_Table!Y$4))</f>
        <v>122.78669762651063</v>
      </c>
      <c r="Z140">
        <f>+IF(SUMIFS(Data_Long_Form!$D:$D,Data_Long_Form!$C:$C,Data_Pivot_Table!$V140,Data_Long_Form!$A:$A,Data_Pivot_Table!Z$4)=0,"",SUMIFS(Data_Long_Form!$D:$D,Data_Long_Form!$C:$C,Data_Pivot_Table!$V140,Data_Long_Form!$A:$A,Data_Pivot_Table!Z$4))</f>
        <v>368.95137389761931</v>
      </c>
      <c r="AA140" t="str">
        <f>+IF(SUMIFS(Data_Long_Form!$D:$D,Data_Long_Form!$C:$C,Data_Pivot_Table!$V140,Data_Long_Form!$A:$A,Data_Pivot_Table!AA$4)=0,"",SUMIFS(Data_Long_Form!$D:$D,Data_Long_Form!$C:$C,Data_Pivot_Table!$V140,Data_Long_Form!$A:$A,Data_Pivot_Table!AA$4))</f>
        <v/>
      </c>
      <c r="AB140" t="str">
        <f>+IF(SUMIFS(Data_Long_Form!$D:$D,Data_Long_Form!$C:$C,Data_Pivot_Table!$V140,Data_Long_Form!$A:$A,Data_Pivot_Table!AB$4)=0,"",SUMIFS(Data_Long_Form!$D:$D,Data_Long_Form!$C:$C,Data_Pivot_Table!$V140,Data_Long_Form!$A:$A,Data_Pivot_Table!AB$4))</f>
        <v/>
      </c>
      <c r="AC140">
        <f>+IF(SUMIFS(Data_Long_Form!$D:$D,Data_Long_Form!$C:$C,Data_Pivot_Table!$V140,Data_Long_Form!$A:$A,Data_Pivot_Table!AC$4)=0,"",SUMIFS(Data_Long_Form!$D:$D,Data_Long_Form!$C:$C,Data_Pivot_Table!$V140,Data_Long_Form!$A:$A,Data_Pivot_Table!AC$4))</f>
        <v>369.71248467858038</v>
      </c>
    </row>
    <row r="141" spans="1:29" x14ac:dyDescent="0.2">
      <c r="A141" s="5">
        <v>0.43739583333333332</v>
      </c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7</v>
      </c>
      <c r="J141" s="4"/>
      <c r="K141">
        <v>0.43739583333333332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7</v>
      </c>
      <c r="V141" s="8">
        <v>0.43739583333333332</v>
      </c>
      <c r="W141">
        <f>+IF(SUMIFS(Data_Long_Form!$D:$D,Data_Long_Form!$C:$C,Data_Pivot_Table!$V141,Data_Long_Form!$A:$A,Data_Pivot_Table!W$4)=0,"",SUMIFS(Data_Long_Form!$D:$D,Data_Long_Form!$C:$C,Data_Pivot_Table!$V141,Data_Long_Form!$A:$A,Data_Pivot_Table!W$4))</f>
        <v>267.37378270776685</v>
      </c>
      <c r="X141">
        <f>+IF(SUMIFS(Data_Long_Form!$D:$D,Data_Long_Form!$C:$C,Data_Pivot_Table!$V141,Data_Long_Form!$A:$A,Data_Pivot_Table!X$4)=0,"",SUMIFS(Data_Long_Form!$D:$D,Data_Long_Form!$C:$C,Data_Pivot_Table!$V141,Data_Long_Form!$A:$A,Data_Pivot_Table!X$4))</f>
        <v>254.73063830270527</v>
      </c>
      <c r="Y141">
        <f>+IF(SUMIFS(Data_Long_Form!$D:$D,Data_Long_Form!$C:$C,Data_Pivot_Table!$V141,Data_Long_Form!$A:$A,Data_Pivot_Table!Y$4)=0,"",SUMIFS(Data_Long_Form!$D:$D,Data_Long_Form!$C:$C,Data_Pivot_Table!$V141,Data_Long_Form!$A:$A,Data_Pivot_Table!Y$4))</f>
        <v>213.88515675685446</v>
      </c>
      <c r="Z141">
        <f>+IF(SUMIFS(Data_Long_Form!$D:$D,Data_Long_Form!$C:$C,Data_Pivot_Table!$V141,Data_Long_Form!$A:$A,Data_Pivot_Table!Z$4)=0,"",SUMIFS(Data_Long_Form!$D:$D,Data_Long_Form!$C:$C,Data_Pivot_Table!$V141,Data_Long_Form!$A:$A,Data_Pivot_Table!Z$4))</f>
        <v>298.4637057341676</v>
      </c>
      <c r="AA141">
        <f>+IF(SUMIFS(Data_Long_Form!$D:$D,Data_Long_Form!$C:$C,Data_Pivot_Table!$V141,Data_Long_Form!$A:$A,Data_Pivot_Table!AA$4)=0,"",SUMIFS(Data_Long_Form!$D:$D,Data_Long_Form!$C:$C,Data_Pivot_Table!$V141,Data_Long_Form!$A:$A,Data_Pivot_Table!AA$4))</f>
        <v>363.15224479753135</v>
      </c>
      <c r="AB141">
        <f>+IF(SUMIFS(Data_Long_Form!$D:$D,Data_Long_Form!$C:$C,Data_Pivot_Table!$V141,Data_Long_Form!$A:$A,Data_Pivot_Table!AB$4)=0,"",SUMIFS(Data_Long_Form!$D:$D,Data_Long_Form!$C:$C,Data_Pivot_Table!$V141,Data_Long_Form!$A:$A,Data_Pivot_Table!AB$4))</f>
        <v>287.13282628434621</v>
      </c>
      <c r="AC141">
        <f>+IF(SUMIFS(Data_Long_Form!$D:$D,Data_Long_Form!$C:$C,Data_Pivot_Table!$V141,Data_Long_Form!$A:$A,Data_Pivot_Table!AC$4)=0,"",SUMIFS(Data_Long_Form!$D:$D,Data_Long_Form!$C:$C,Data_Pivot_Table!$V141,Data_Long_Form!$A:$A,Data_Pivot_Table!AC$4))</f>
        <v>420.13902570038414</v>
      </c>
    </row>
    <row r="142" spans="1:29" x14ac:dyDescent="0.2">
      <c r="A142" s="5">
        <v>0.43740740740740741</v>
      </c>
      <c r="B142" s="4">
        <v>1</v>
      </c>
      <c r="C142" s="4">
        <v>1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  <c r="I142" s="4">
        <v>7</v>
      </c>
      <c r="J142" s="4"/>
      <c r="K142">
        <v>0.43740740740740741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7</v>
      </c>
      <c r="V142" s="8">
        <v>0.43740740740740741</v>
      </c>
      <c r="W142">
        <f>+IF(SUMIFS(Data_Long_Form!$D:$D,Data_Long_Form!$C:$C,Data_Pivot_Table!$V142,Data_Long_Form!$A:$A,Data_Pivot_Table!W$4)=0,"",SUMIFS(Data_Long_Form!$D:$D,Data_Long_Form!$C:$C,Data_Pivot_Table!$V142,Data_Long_Form!$A:$A,Data_Pivot_Table!W$4))</f>
        <v>269.08536662388968</v>
      </c>
      <c r="X142">
        <f>+IF(SUMIFS(Data_Long_Form!$D:$D,Data_Long_Form!$C:$C,Data_Pivot_Table!$V142,Data_Long_Form!$A:$A,Data_Pivot_Table!X$4)=0,"",SUMIFS(Data_Long_Form!$D:$D,Data_Long_Form!$C:$C,Data_Pivot_Table!$V142,Data_Long_Form!$A:$A,Data_Pivot_Table!X$4))</f>
        <v>252.82643713935542</v>
      </c>
      <c r="Y142">
        <f>+IF(SUMIFS(Data_Long_Form!$D:$D,Data_Long_Form!$C:$C,Data_Pivot_Table!$V142,Data_Long_Form!$A:$A,Data_Pivot_Table!Y$4)=0,"",SUMIFS(Data_Long_Form!$D:$D,Data_Long_Form!$C:$C,Data_Pivot_Table!$V142,Data_Long_Form!$A:$A,Data_Pivot_Table!Y$4))</f>
        <v>214.47477543049163</v>
      </c>
      <c r="Z142">
        <f>+IF(SUMIFS(Data_Long_Form!$D:$D,Data_Long_Form!$C:$C,Data_Pivot_Table!$V142,Data_Long_Form!$A:$A,Data_Pivot_Table!Z$4)=0,"",SUMIFS(Data_Long_Form!$D:$D,Data_Long_Form!$C:$C,Data_Pivot_Table!$V142,Data_Long_Form!$A:$A,Data_Pivot_Table!Z$4))</f>
        <v>300.00840469677928</v>
      </c>
      <c r="AA142">
        <f>+IF(SUMIFS(Data_Long_Form!$D:$D,Data_Long_Form!$C:$C,Data_Pivot_Table!$V142,Data_Long_Form!$A:$A,Data_Pivot_Table!AA$4)=0,"",SUMIFS(Data_Long_Form!$D:$D,Data_Long_Form!$C:$C,Data_Pivot_Table!$V142,Data_Long_Form!$A:$A,Data_Pivot_Table!AA$4))</f>
        <v>364.11726986295656</v>
      </c>
      <c r="AB142">
        <f>+IF(SUMIFS(Data_Long_Form!$D:$D,Data_Long_Form!$C:$C,Data_Pivot_Table!$V142,Data_Long_Form!$A:$A,Data_Pivot_Table!AB$4)=0,"",SUMIFS(Data_Long_Form!$D:$D,Data_Long_Form!$C:$C,Data_Pivot_Table!$V142,Data_Long_Form!$A:$A,Data_Pivot_Table!AB$4))</f>
        <v>287.59462105677949</v>
      </c>
      <c r="AC142">
        <f>+IF(SUMIFS(Data_Long_Form!$D:$D,Data_Long_Form!$C:$C,Data_Pivot_Table!$V142,Data_Long_Form!$A:$A,Data_Pivot_Table!AC$4)=0,"",SUMIFS(Data_Long_Form!$D:$D,Data_Long_Form!$C:$C,Data_Pivot_Table!$V142,Data_Long_Form!$A:$A,Data_Pivot_Table!AC$4))</f>
        <v>421.13360253684999</v>
      </c>
    </row>
    <row r="143" spans="1:29" x14ac:dyDescent="0.2">
      <c r="A143" s="5">
        <v>0.44165509259259261</v>
      </c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7</v>
      </c>
      <c r="J143" s="4"/>
      <c r="K143">
        <v>0.44165509259259261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7</v>
      </c>
      <c r="V143" s="8">
        <v>0.44165509259259261</v>
      </c>
      <c r="W143">
        <f>+IF(SUMIFS(Data_Long_Form!$D:$D,Data_Long_Form!$C:$C,Data_Pivot_Table!$V143,Data_Long_Form!$A:$A,Data_Pivot_Table!W$4)=0,"",SUMIFS(Data_Long_Form!$D:$D,Data_Long_Form!$C:$C,Data_Pivot_Table!$V143,Data_Long_Form!$A:$A,Data_Pivot_Table!W$4))</f>
        <v>352.11246008302362</v>
      </c>
      <c r="X143">
        <f>+IF(SUMIFS(Data_Long_Form!$D:$D,Data_Long_Form!$C:$C,Data_Pivot_Table!$V143,Data_Long_Form!$A:$A,Data_Pivot_Table!X$4)=0,"",SUMIFS(Data_Long_Form!$D:$D,Data_Long_Form!$C:$C,Data_Pivot_Table!$V143,Data_Long_Form!$A:$A,Data_Pivot_Table!X$4))</f>
        <v>434.54037966336909</v>
      </c>
      <c r="Y143">
        <f>+IF(SUMIFS(Data_Long_Form!$D:$D,Data_Long_Form!$C:$C,Data_Pivot_Table!$V143,Data_Long_Form!$A:$A,Data_Pivot_Table!Y$4)=0,"",SUMIFS(Data_Long_Form!$D:$D,Data_Long_Form!$C:$C,Data_Pivot_Table!$V143,Data_Long_Form!$A:$A,Data_Pivot_Table!Y$4))</f>
        <v>268.50728090693366</v>
      </c>
      <c r="Z143">
        <f>+IF(SUMIFS(Data_Long_Form!$D:$D,Data_Long_Form!$C:$C,Data_Pivot_Table!$V143,Data_Long_Form!$A:$A,Data_Pivot_Table!Z$4)=0,"",SUMIFS(Data_Long_Form!$D:$D,Data_Long_Form!$C:$C,Data_Pivot_Table!$V143,Data_Long_Form!$A:$A,Data_Pivot_Table!Z$4))</f>
        <v>508.24149442514732</v>
      </c>
      <c r="AA143">
        <f>+IF(SUMIFS(Data_Long_Form!$D:$D,Data_Long_Form!$C:$C,Data_Pivot_Table!$V143,Data_Long_Form!$A:$A,Data_Pivot_Table!AA$4)=0,"",SUMIFS(Data_Long_Form!$D:$D,Data_Long_Form!$C:$C,Data_Pivot_Table!$V143,Data_Long_Form!$A:$A,Data_Pivot_Table!AA$4))</f>
        <v>383.96643604102411</v>
      </c>
      <c r="AB143">
        <f>+IF(SUMIFS(Data_Long_Form!$D:$D,Data_Long_Form!$C:$C,Data_Pivot_Table!$V143,Data_Long_Form!$A:$A,Data_Pivot_Table!AB$4)=0,"",SUMIFS(Data_Long_Form!$D:$D,Data_Long_Form!$C:$C,Data_Pivot_Table!$V143,Data_Long_Form!$A:$A,Data_Pivot_Table!AB$4))</f>
        <v>520.85981545719494</v>
      </c>
      <c r="AC143">
        <f>+IF(SUMIFS(Data_Long_Form!$D:$D,Data_Long_Form!$C:$C,Data_Pivot_Table!$V143,Data_Long_Form!$A:$A,Data_Pivot_Table!AC$4)=0,"",SUMIFS(Data_Long_Form!$D:$D,Data_Long_Form!$C:$C,Data_Pivot_Table!$V143,Data_Long_Form!$A:$A,Data_Pivot_Table!AC$4))</f>
        <v>492.67179831550959</v>
      </c>
    </row>
    <row r="144" spans="1:29" x14ac:dyDescent="0.2">
      <c r="A144" s="5" t="s">
        <v>151</v>
      </c>
      <c r="B144" s="4">
        <v>80</v>
      </c>
      <c r="C144" s="4">
        <v>71</v>
      </c>
      <c r="D144" s="4">
        <v>65</v>
      </c>
      <c r="E144" s="4">
        <v>84</v>
      </c>
      <c r="F144" s="4">
        <v>95</v>
      </c>
      <c r="G144" s="4">
        <v>130</v>
      </c>
      <c r="H144" s="4">
        <v>77</v>
      </c>
      <c r="I144" s="4">
        <v>602</v>
      </c>
      <c r="J144" s="4"/>
      <c r="K144" t="s">
        <v>151</v>
      </c>
      <c r="L144">
        <v>95</v>
      </c>
      <c r="M144">
        <v>130</v>
      </c>
      <c r="N144">
        <v>77</v>
      </c>
      <c r="O144">
        <v>80</v>
      </c>
      <c r="P144">
        <v>71</v>
      </c>
      <c r="Q144">
        <v>65</v>
      </c>
      <c r="R144">
        <v>84</v>
      </c>
      <c r="S144">
        <v>602</v>
      </c>
      <c r="V1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Data_Matrix</vt:lpstr>
      <vt:lpstr>Data_Long_Form</vt:lpstr>
      <vt:lpstr>Data_Pivot_Table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David R.</cp:lastModifiedBy>
  <dcterms:modified xsi:type="dcterms:W3CDTF">2025-09-05T03:48:20Z</dcterms:modified>
</cp:coreProperties>
</file>